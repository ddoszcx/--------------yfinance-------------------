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казатели рентабельности" sheetId="1" r:id="rId5"/>
    <sheet state="visible" name="Мультипликаторы" sheetId="2" r:id="rId6"/>
    <sheet state="visible" name="Показатели фин устойчивости" sheetId="3" r:id="rId7"/>
    <sheet state="visible" name="Агрегированный Итог" sheetId="4" r:id="rId8"/>
    <sheet state="visible" name="PEG" sheetId="5" r:id="rId9"/>
    <sheet state="visible" name="Показатели рентабельностимаржин" sheetId="6" r:id="rId10"/>
    <sheet state="visible" name="Raw Data" sheetId="7" r:id="rId11"/>
    <sheet state="visible" name="Market Info" sheetId="8" r:id="rId12"/>
    <sheet state="visible" name="Summary (up to 2024)" sheetId="9" r:id="rId13"/>
    <sheet state="visible" name="Test Results (2025)" sheetId="10" r:id="rId14"/>
    <sheet state="visible" name="Price" sheetId="11" r:id="rId15"/>
    <sheet state="visible" name="Revenue" sheetId="12" r:id="rId16"/>
    <sheet state="visible" name="Gross Profit" sheetId="13" r:id="rId17"/>
    <sheet state="visible" name="Net Income" sheetId="14" r:id="rId18"/>
    <sheet state="visible" name="EPS" sheetId="15" r:id="rId19"/>
    <sheet state="visible" name="DPS" sheetId="16" r:id="rId20"/>
    <sheet state="visible" name="FCF" sheetId="17" r:id="rId21"/>
    <sheet state="visible" name="Pretax Income" sheetId="18" r:id="rId22"/>
    <sheet state="visible" name="Tax Provision" sheetId="19" r:id="rId23"/>
    <sheet state="visible" name="Tax Rate" sheetId="20" r:id="rId24"/>
    <sheet state="visible" name="NOPAT" sheetId="21" r:id="rId25"/>
    <sheet state="visible" name="Invested Capital" sheetId="22" r:id="rId26"/>
    <sheet state="visible" name="Gross Margin" sheetId="23" r:id="rId27"/>
    <sheet state="visible" name="Operating Margin" sheetId="24" r:id="rId28"/>
    <sheet state="visible" name="Net Profit Margin" sheetId="25" r:id="rId29"/>
    <sheet state="visible" name="ROE" sheetId="26" r:id="rId30"/>
    <sheet state="visible" name="ROA" sheetId="27" r:id="rId31"/>
    <sheet state="visible" name="ROIC" sheetId="28" r:id="rId32"/>
    <sheet state="visible" name="Payout Ratio based on FCF" sheetId="29" r:id="rId33"/>
    <sheet state="visible" name="Payout Ratio based on NI" sheetId="30" r:id="rId34"/>
    <sheet state="visible" name="D E" sheetId="31" r:id="rId35"/>
    <sheet state="visible" name="Interest Coverage" sheetId="32" r:id="rId36"/>
    <sheet state="visible" name="OCF   Total Debt" sheetId="33" r:id="rId37"/>
    <sheet state="visible" name="Net Debt   EBITDA" sheetId="34" r:id="rId38"/>
    <sheet state="visible" name="Current Ratio" sheetId="35" r:id="rId39"/>
    <sheet state="visible" name="Quick Ratio" sheetId="36" r:id="rId40"/>
    <sheet state="visible" name="Cash Ratio" sheetId="37" r:id="rId41"/>
    <sheet state="visible" name="Total Assets" sheetId="38" r:id="rId42"/>
    <sheet state="visible" name="Market Cap" sheetId="39" r:id="rId43"/>
    <sheet state="visible" name="EV" sheetId="40" r:id="rId44"/>
    <sheet state="visible" name="P E" sheetId="41" r:id="rId45"/>
    <sheet state="visible" name="P S" sheetId="42" r:id="rId46"/>
    <sheet state="visible" name="P FCF" sheetId="43" r:id="rId47"/>
    <sheet state="visible" name="EV EBITDA" sheetId="44" r:id="rId48"/>
    <sheet state="visible" name="Dividend Yield" sheetId="45" r:id="rId49"/>
    <sheet state="visible" name="P B" sheetId="46" r:id="rId50"/>
  </sheets>
  <definedNames/>
  <calcPr/>
</workbook>
</file>

<file path=xl/sharedStrings.xml><?xml version="1.0" encoding="utf-8"?>
<sst xmlns="http://schemas.openxmlformats.org/spreadsheetml/2006/main" count="1867" uniqueCount="264">
  <si>
    <t>Отрасль 1. Технологии и полупроводники.</t>
  </si>
  <si>
    <t>Отрасль 2. Потребительский discretionary, e-commerce и онлайн-сервисы.</t>
  </si>
  <si>
    <t>Отрасль 3. Коммуникационные сервисы, digital-реклама и подписки.</t>
  </si>
  <si>
    <t>Отрасль 4. Здравоохранение, биотехнологии и медицинские технологии.</t>
  </si>
  <si>
    <t>Отрасль 5. Потребительские товары повседневного спроса.</t>
  </si>
  <si>
    <t>ROE</t>
  </si>
  <si>
    <t>Тикер</t>
  </si>
  <si>
    <t>AAPL</t>
  </si>
  <si>
    <t>AMZN</t>
  </si>
  <si>
    <t>GOOGL</t>
  </si>
  <si>
    <t>AMGN</t>
  </si>
  <si>
    <t>COST</t>
  </si>
  <si>
    <t>MSFT</t>
  </si>
  <si>
    <t>MELI</t>
  </si>
  <si>
    <t>META</t>
  </si>
  <si>
    <t>REGN</t>
  </si>
  <si>
    <t>PEP</t>
  </si>
  <si>
    <t>ASML</t>
  </si>
  <si>
    <t>TSLA</t>
  </si>
  <si>
    <t>NFLX</t>
  </si>
  <si>
    <t>GILD</t>
  </si>
  <si>
    <t>MDLZ</t>
  </si>
  <si>
    <t>AMD</t>
  </si>
  <si>
    <t>PDD</t>
  </si>
  <si>
    <t>TMUS</t>
  </si>
  <si>
    <t>VRTX</t>
  </si>
  <si>
    <t>KDP</t>
  </si>
  <si>
    <t>CHTR</t>
  </si>
  <si>
    <t>CCEP</t>
  </si>
  <si>
    <t>ROA</t>
  </si>
  <si>
    <t>ROIC</t>
  </si>
  <si>
    <t>Margin</t>
  </si>
  <si>
    <t>Выводы (показатели рентабельности):</t>
  </si>
  <si>
    <t>По итогам анализа показателей рентабельности в группе компаний технологического и полупроводникового сектора для дальнейшего рассмотрения были отобраны Apple (AAPL) и ASML Holding (ASML). Apple занимает первое место по показателям ROE (157,41%), ROA (26,13%) и ROIC (57,18%) в 2024 году, что говорит о наиболее высокой эффективности использования собственного капитала, активов и инвестированного капитала среди рассматриваемых компаний. ASML, в свою очередь, демонстрирует высокие значения по всем четырём метрикам, занимая второе место по совокупности показателей и опережая Microsoft по ROE и ROIC. Кроме того, компания сохраняет высокий уровень рентабельности продаж (26,79%), что подтверждает её способность эффективно конвертировать выручку в прибыль.</t>
  </si>
  <si>
    <r>
      <rPr>
        <rFont val="Arial"/>
        <color rgb="FF000000"/>
        <sz val="12.0"/>
      </rPr>
      <t xml:space="preserve">По итогам анализа показателей рентабельности в данном блоке выбраны </t>
    </r>
    <r>
      <rPr>
        <rFont val="Arial"/>
        <b/>
        <color rgb="FF000000"/>
        <sz val="12.0"/>
      </rPr>
      <t xml:space="preserve">Alphabet/Google (GOOGL) </t>
    </r>
    <r>
      <rPr>
        <rFont val="Arial"/>
        <color rgb="FF000000"/>
        <sz val="12.0"/>
      </rPr>
      <t xml:space="preserve">и </t>
    </r>
    <r>
      <rPr>
        <rFont val="Arial"/>
        <b/>
        <color rgb="FF000000"/>
        <sz val="12.0"/>
      </rPr>
      <t>Meta (META)</t>
    </r>
    <r>
      <rPr>
        <rFont val="Arial"/>
        <color rgb="FF000000"/>
        <sz val="12.0"/>
      </rPr>
      <t>. Alphabet лидирует по ROA (23.48%) и ROIC (29.87%) в 2024 году, что свидетельствует об эффективном использовании активов и инвестированного капитала. Meta показывает наибольшую Profit Margin в отрасли (37.91%) и высокий ROE (37.14%), демонстрируя выдающуюся способность генерировать прибыль. Обе компании показывают устойчивую положительную динамику по всем четырём метрикам на протяжении 2022–2024 годов. Netflix занимает среднюю позицию без явного лидерства ни по одному показателю. T-Mobile и Charter выбывают ввиду низкой рентабельности по всем метрикам и высоккой долговой нагрузки, при этом высокий ROE Charter носит технический характер и объясняется долговой нагрузкой, а не реальной эффективностью бизнеса.</t>
    </r>
  </si>
  <si>
    <t xml:space="preserve">По итогам анализа показателей рентабельности в отрасли здравоохранения, биотехнологий и медицинских технологий были отобраны Regeneron Pharmaceuticals (REGN) и Amgen (AMGN). REGN занимает первое место по показателям ROA (12,46%) и показывает наиболее высокую рентабельность продаж в отрасли (31,07% в 2024 году) при стабильном уровне ROE и ROIC (15,95% и 14,24% соответсственно) на протяжении всего анализируемого периода 2022 - 2024 годов. Подобная ситуация указывает об устойчивой способности данной компании конвертировать выручку в прибыль, не влезая при этом в долги. AMGN, в свою же очередь, лидирует по показателю ROE (67,55% в 2024 году), что обусловено сочетанием высокой операционной эффективности и умеренного долга, характерного для крупных биофармацевтических компаний с диверсифицированным портфелем препаратов. Несмотря на снижение рентабельности по многим метрикам в 2022 году, AMGN сохраняет хороший ROIC и уверенную маржу на уровне 12,24%. </t>
  </si>
  <si>
    <t>По итогам анализа показателей рентабельности в группе компаний сектора потребительских товаров повседневного спроса были выбраны Costco Wholesale Corporation (COST) и Pepsico, Inc. (PEP). 
PepsiCo занимает первое место по показателю ROE на протяжении всего рассматриваемого периода (52.42% в 2024 году), что почти вдвое выше ближайшего конкурента (COST). Высокий ROE при двузначной чистой марже (~10%) указывает на то, что Pepsico зарабатывает на операционной эффективности, а не наращивает показатель за счёт долговой нагрузки. ROA (~9.6%) и ROIC (~17%) остаются стабильно высокими на протяжении всех трёх лет, что подтверждает устойчивость бизнес-модели и способность Pepsico последовательно генерировать прибыль на вложенный капитал. Costco, несмотря на минимальную чистую маржу в группе (2.90% в 2024 году), фиксирует наивысшие значения ROA (10.61%) и ROIC (25.48%) и уступает PepsiCo только по ROE. Компания Costco намеренно держит минимальную торговую наценку, получая основную прибыль за счёт членских взносов покупателей, поэтому при скромной марже Costco показывает выдающуюся отдачу на активы и вложенный капитал (высокая оборачиваемость товаров компенсирует низкую рентабельность каждой продажи).</t>
  </si>
  <si>
    <t>P/E</t>
  </si>
  <si>
    <t>PEG</t>
  </si>
  <si>
    <t>P/S</t>
  </si>
  <si>
    <t>EV/EBITDA</t>
  </si>
  <si>
    <t>Выводы (мультипликаторы):</t>
  </si>
  <si>
    <t>По мультипликаторам за 2022-2024 годы в выборку вошли Apple и ASML.
Apple лидировала по P/E и EV/EBITDA в 2022-2023 годах, и даже с переходом на третьи места в 2024 году остается привлекательной по совокупности периода. ASML - самая стабильная в блоке, без резких колебаний удерживает вторые и третьи позиции по всем коэффициентам.
Microsoft показала лучшие P/E и EV/EBITDA в 2024 году, но все три года проигрывает остальным по соотношению цены и выручки (P/S).
AMD выбывает из-за критически высоких, худших в группе значений P/E и EV/EBITDA, несмотря на лидерство по оценке выручки (P/S).</t>
  </si>
  <si>
    <t>По итогам анализа мультипликаторов лидерами по привлекательности рыночной оценки в данном блоке являются PDD Holdings (PDD) и Amazon (AMZN). PDD демонстрирует наименьшие значения P/E (1.28), P/S (0.36) и EV/EBITDA (0.71) в 2024 году - значительно ниже, чем у любого другого конкурента в отрасли; PEG (1.48) указывает на разумную оценку с учётом темпов роста. Столь низкие мультипликаторы при сильных фундаментальных показателях отчасти объясняются специфическим дисконтом за геополитический и регуляторный риск, характерным для китайских компаний на NASDAQ, однако не отражают слабости бизнеса. Amazon занимает второе место по совокупности мультипликаторов (P/E=39.67, P/S=3.69, EV/EBITDA=19.42 в 2024 году), что является адекватной оценкой для крупнейшего e-commerce-оператора с быстрорастущим облачным сегментом (AWS). MercadoLibre торгуется с заметной премией к Amazon (P/E=45.12, EV/EBITDA=28.13), что оправдывается высокими темпами роста, однако ограничивает запас прочности оценки. Tesla имеет наиболее высокие мультипликаторы в отрасли (P/E=197.96, P/S=13.29, EV/EBITDA=88.13) - оценка существенно расходится с текущим уровнем рентабельности и делает акцию крайне чувствительной к разочаровывающим операционным результатам.</t>
  </si>
  <si>
    <r>
      <rPr>
        <rFont val="Arial"/>
        <color rgb="FF000000"/>
        <sz val="12.0"/>
      </rPr>
      <t xml:space="preserve">По итогам анализа мультипликаторов формальными лидерами по дешевизне оценки в данном блоке являются </t>
    </r>
    <r>
      <rPr>
        <rFont val="Arial"/>
        <b/>
        <color rgb="FF000000"/>
        <sz val="12.0"/>
      </rPr>
      <t xml:space="preserve">Charter Communications (CHTR) </t>
    </r>
    <r>
      <rPr>
        <rFont val="Arial"/>
        <color rgb="FF000000"/>
        <sz val="12.0"/>
      </rPr>
      <t xml:space="preserve">и </t>
    </r>
    <r>
      <rPr>
        <rFont val="Arial"/>
        <b/>
        <color rgb="FF000000"/>
        <sz val="12.0"/>
      </rPr>
      <t>T-Mobile (TMUS)</t>
    </r>
    <r>
      <rPr>
        <rFont val="Arial"/>
        <color rgb="FF000000"/>
        <sz val="12.0"/>
      </rPr>
      <t>. CHTR демонстрирует наименьший P/E (9.80) и EV/EBITDA (6.78) в 2024 году, TMUS показывает низкий P/S (3.10) и умеренный P/E (22.27). Однако низкая оценка требует контекста: в случае CHTR она обусловлена критически высокой долговой нагрузкой и слабой операционной эффективностью, в случае TMUS - зрелостью телеком-бизнеса с ограниченным потенциалом роста. Alphabet/Google и Meta торгуются с более высокими мультипликаторами, что отражает справедливую премию за доминирующие позиции в digital-рекламе и стабильно высокую рентабельность. Netflix имеет наиболее высокий P/E (44.95) и P/S (10.04) в отрасли, что делает акцию наиболее чувствительной к негативным изменениям в результатах компании.</t>
    </r>
  </si>
  <si>
    <t>По итогам анализа мультипликаторов в группе компаний сектора здравоохранения, биотехнологий и медицинских технологий наиболее привлекательную рыночную оценку демонстрируют Regeneron Pharmaceuticals (REGN) и Amgen (AMGN). REGN показывает наиболее разумные мультипликаторы в отрасли: P/E = 18,43, EV/EBITDA = 15,33 и P/S = 5,73 в 2024 году при PEG = 11 747, что объясняется временным замедлением темпов роста прибыли. Уровень P/E у REGN является наиболее низким среди компаний с положительной рентабельностью в группе и подтверждает сдержанную рыночную оценку с учетом сильных фундаментальных показателей. AMGN также торгуется с умеренными мультипликаторами: P/E = 32,91, а EV/EBITDA = 13,68 является наименьшим значение EV/EBITDA в группе за 2024 год, что указывает на наиболее привлекательную оценку по операционному денежному потоку. Показатель PEG у AMGN является отрицательным, что связано со снижением прибыли в отчетном периоде на фоне интеграционных расходов. GILD не был выбран из-за его чересчур высокого показателя P/E (235x) в 2024 году, вызванного разовым сжатием чистой прибыли (также у него высокий EV/EBITDA). VRTX также не был учтен из-за его отрицательных показателей рентабельности, что делает P/E нерасчетным, а EV/EBITDA достигает критических выоских значений (207,75x).</t>
  </si>
  <si>
    <t xml:space="preserve">По итогам анализа мультипликаторов в группе компаний сектора потребительских товаров повседневного спроса были отобраны Mondelez International, Inc. (MDLZ) и Coca-Cola Europacific Partners (CCEP).
Mondelez демонстрирует одни из наиболее низких значений P/E (16.78) и EV/EBITDA (11.69) в группе по итогам 2024 года. Показатель EV/EBITDA снизился с 22.25 в 2022 году до 11.69 в 2024 году при сохранении стабильных операционных результатов, что указывает на возможную недооцененность акций компании.
Coca-Cola Europacific Partners выделяется достаточно низким значением P/S (1.67) и конкурентным уровнем EV/EBITDA (14.11) в 2024 году. В секторе с относительно устойчивым уровнем рентабельности низкий P/S при устойчивой выручке свидетельствует о сдержанной рыночной оценке компании. Последовательное улучшение мультипликаторов на протяжении всего анализируемого периода отражает рост доверия рынка к бизнес-модели компании. Costco исключается из-за переоценённости (P/E = 55, EV/EBITDA = 33), PepsiCo не выбираем из-за отсутствия лидирующих позиций по мультипликаторам, а KDP из-за высокой оценки при низкой рентабельности.
</t>
  </si>
  <si>
    <t>ND/EBITDA</t>
  </si>
  <si>
    <t>Current Ratio</t>
  </si>
  <si>
    <t>Quick Ratio</t>
  </si>
  <si>
    <t>Cash Ratio</t>
  </si>
  <si>
    <t>Вывод</t>
  </si>
  <si>
    <t>Выводы:</t>
  </si>
  <si>
    <t>По итогам анализа показателей финансовой устойчивости за 2022–2024 годы в данном блоке выбраны AMD и ASML. AMD демонстрирует отрицательный чистый долг (ND/EBITDA от -0.23 до -0.36) и лучшую ликвидность в группе (Current Ratio стабильно выше 2.36) на протяжении всего периода. ASML также показывает полное отсутствие долгового бремени (ND/EBITDA до -0.80) при уверенном росте показателей ликвидности (Current Ratio вырос с 1.28 до 1.53).
Microsoft занимает среднюю позицию с умеренным долгом (ND/EBITDA не выше 0.47) и приемлемой ликвидностью, но уступает лидерам.
Apple выбывает ввиду хронической нехватки ликвидности (Current и Quick Ratio стабильно ниже 1.0 все три года) и наибольшей в блоке долговой нагрузки (ND/EBITDA 0.57–0.83), что делает её аутсайдером по краткосрочной финансовой устойчивости.</t>
  </si>
  <si>
    <t>По итогам анализа показателей финансовой устойчивости в данном блоке выбраны PDD Holdings (PDD) и Tesla (TSLA). PDD демонстрирует отрицательный чистый долг (ND/EBITDA −0.35 в 2024 году) и лучшие показатели ликвидности в отрасли (Current Ratio 2.21, Quick Ratio 2.21), что свидетельствует о практически полном отсутствии долговой нагрузки и высоком краткосрочном запасе прочности. Tesla также имеет отрицательный чистый долг (ND/EBITDA −0.17 в 2024 году), причём этот показатель оставался отрицательным на протяжении всего трёхлетнего периода, а показатели ликвидности уверенно росли (Current Ratio вырос с 1.53 в 2022 до 2.02 в 2024 году, Cash Ratio устойчиво держится на уровне около 0.56–0.61). Amazon занимает промежуточную позицию: долговая нагрузка существенно снизилась с 2.25 в 2022 до 0.42 в 2024 году, однако Quick Ratio (0.87) остаётся ниже единицы, что ограничивает краткосрочную финансовую гибкость. MercadoLibre выбывает ввиду наибольшей в отрасли долговой нагрузки (ND/EBITDA 1.31 в 2024 году) и минимального Cash Ratio (0.16), что формирует относительно более высокие финансовые риски по сравнению с лидерами.</t>
  </si>
  <si>
    <r>
      <rPr>
        <rFont val="Arial"/>
        <color rgb="FF000000"/>
        <sz val="12.0"/>
      </rPr>
      <t xml:space="preserve">По итогам анализа показателей финансовой устойчивости в данном блоке выбраны </t>
    </r>
    <r>
      <rPr>
        <rFont val="Arial"/>
        <b/>
        <color rgb="FF000000"/>
        <sz val="12.0"/>
      </rPr>
      <t xml:space="preserve">Alphabet/Google (GOOGL) </t>
    </r>
    <r>
      <rPr>
        <rFont val="Arial"/>
        <color rgb="FF000000"/>
        <sz val="12.0"/>
      </rPr>
      <t xml:space="preserve">и </t>
    </r>
    <r>
      <rPr>
        <rFont val="Arial"/>
        <b/>
        <color rgb="FF000000"/>
        <sz val="12.0"/>
      </rPr>
      <t>Meta (META)</t>
    </r>
    <r>
      <rPr>
        <rFont val="Arial"/>
        <color rgb="FF000000"/>
        <sz val="12.0"/>
      </rPr>
      <t>. Alphabet демонстрирует практически нулевую долговую нагрузку (ND/EBITDA -0.01 в 2024 году) и высокую ликвидность (Current Ratio 1.84, Quick Ratio 1.81), что свидетельствует о полной финансовой независимости. Meta показывает исключительные показатели ликвидности в отрасли (Current Ratio 2.98, Cash Ratio 1.31) при минимальном долге (ND/EBITDA 0.06), что означает наличие значительного запаса денежных средств. Netflix занимает среднюю позицию с умеренной долговой нагрузкой и приемлемой ликвидностью выше 1.0, однако не является лидером ни по одному показателю блока. T-Mobile и Charter выбывают ввиду критически высокой закредитованности (ND/EBITDA 3.50 и 4.45 соответственно) и показателей ликвидности ниже нормы, что создаёт существенные финансовые риски.</t>
    </r>
  </si>
  <si>
    <t xml:space="preserve">По итогам анализа показателей финансовой устойчивости за 2022 - 2024 годы в данном блоке выбраны Regeneron Pharmaceuticals (REGN) и Vertex Pharmaceuticals (VRTX). REGN демонстрирует отличную финансовую устойчивость: показатель ND/EBITDA равен практически нулю (0,04 в 2024 году, против -0,08 в 2022 году), компания фактически не имеет чистого долга. При этом ликвидность находится на лидирующем в группе уровне: Current Ratio = 4,73, Quick Ratio = 3,95, Cash Ratio = 0,63 в 2024 году являются самыми высокими значениями в отрасли, свидетельствующие о значительном запасе краткосрочной финансовой прочности. VRTX обладает наилучшим показателем ND/EBITDA в группе (-5,81 в 2024 году), компания является нетто-кредитором и располагает значительной денежной позицией, что обеспечивает абсолютную независимость от долгового финансирования. Показатели ликвидности VRTX также уверенно превышают норму (Current Ratio = 2,69, Cash Ratio = 1,28). AMGN и GILD выбывают по данному блоку ввиду высокой долговой нагрузки: ND/EBITDA AMGN составляет 3,60, у GILD 3,77 в 2024 году, что значительно превышает комфортный уровень для фармацевтического сектора и создает существенные риски при изменении процентных ставок или ухудшении операционных результатов. </t>
  </si>
  <si>
    <t>По итогам анализа показателей финансовой устойчивости были отобраны Costco (COST) и PepsiCo (PEP).
Costco имеет отрицательный ND/EBITDA (−0,14 в 2024 году), то есть денежные средства на балансе превышают долг, что говорит о высокой финансовой устойчивости. Компания также лидирует по Current Ratio (0,97) и Cash Ratio (0,28). Бизнес-модель Costco предполагает быструю оборачиваемость товаров и отсрочку платежей поставщикам, что создаёт отрицательный рабочий капитал при стабильном денежном потоке.
PepsiCo демонстрирует умеренную и снижающуюся долговую нагрузку (ND/EBITDA снизился с 2,32 в 2022 году до 2,18 в 2024 году). Показатели Quick Ratio (0,65) и Cash Ratio (0,27) являются вторыми в группе, что подтверждает достаточную ликвидность для компании такого масштаба.
KDP исключается из-за наихудших показателей (самый высокий долг ND/EBITDA = 4,45 и самая низкая ликвидность Current Ratio = 0,49, Quick Ratio = 0,33), что создаёт наибольший финансовый риск.
Mondelez, несмотря на заметное снижение долга с 4,52 до 2,11, имеет минимальный Cash Ratio (0,07) в группе, что ограничивает финансовую гибкость компании.</t>
  </si>
  <si>
    <t>Рентабельность</t>
  </si>
  <si>
    <r>
      <rPr>
        <rFont val="Arial"/>
        <color rgb="FF000000"/>
        <sz val="12.0"/>
      </rPr>
      <t xml:space="preserve">Лидеры - </t>
    </r>
    <r>
      <rPr>
        <rFont val="Arial"/>
        <b/>
        <color rgb="FF000000"/>
        <sz val="12.0"/>
      </rPr>
      <t>Alphabet/Google (GOOGL)</t>
    </r>
    <r>
      <rPr>
        <rFont val="Arial"/>
        <color rgb="FF000000"/>
        <sz val="12.0"/>
      </rPr>
      <t xml:space="preserve"> и </t>
    </r>
    <r>
      <rPr>
        <rFont val="Arial"/>
        <b/>
        <color rgb="FF000000"/>
        <sz val="12.0"/>
      </rPr>
      <t>Meta (META)</t>
    </r>
  </si>
  <si>
    <r>
      <rPr>
        <rFont val="Arial"/>
        <color theme="1"/>
        <sz val="12.0"/>
      </rPr>
      <t xml:space="preserve">Лидеры - </t>
    </r>
    <r>
      <rPr>
        <rFont val="Arial"/>
        <b/>
        <color theme="1"/>
        <sz val="12.0"/>
      </rPr>
      <t>Costco Wholesale Corporation (COST) и Pepsico, Inc. (PEP)</t>
    </r>
  </si>
  <si>
    <t>Мультипликаторы</t>
  </si>
  <si>
    <r>
      <rPr>
        <rFont val="Arial"/>
        <color rgb="FF000000"/>
        <sz val="12.0"/>
      </rPr>
      <t xml:space="preserve">Лидеры по дешевизне оценки - </t>
    </r>
    <r>
      <rPr>
        <rFont val="Arial"/>
        <b/>
        <color rgb="FF000000"/>
        <sz val="12.0"/>
      </rPr>
      <t>Charter Communications (CHTR)</t>
    </r>
    <r>
      <rPr>
        <rFont val="Arial"/>
        <color rgb="FF000000"/>
        <sz val="12.0"/>
      </rPr>
      <t xml:space="preserve"> и </t>
    </r>
    <r>
      <rPr>
        <rFont val="Arial"/>
        <b/>
        <color rgb="FF000000"/>
        <sz val="12.0"/>
      </rPr>
      <t>T-Mobile (TMUS)</t>
    </r>
  </si>
  <si>
    <r>
      <rPr>
        <rFont val="Arial"/>
        <color theme="1"/>
        <sz val="12.0"/>
      </rPr>
      <t xml:space="preserve">Лидеры - </t>
    </r>
    <r>
      <rPr>
        <rFont val="Arial"/>
        <b/>
        <color theme="1"/>
        <sz val="12.0"/>
      </rPr>
      <t>Coca-Cola Europacific Partners  (CCEP) и Mondelez International, Inc. (MDLZ)</t>
    </r>
  </si>
  <si>
    <t>Показатели фин устойчивости</t>
  </si>
  <si>
    <r>
      <rPr>
        <rFont val="Arial"/>
        <color rgb="FF000000"/>
        <sz val="12.0"/>
      </rPr>
      <t xml:space="preserve">лидеры - </t>
    </r>
    <r>
      <rPr>
        <rFont val="Arial"/>
        <b/>
        <color rgb="FF000000"/>
        <sz val="12.0"/>
      </rPr>
      <t>Alphabet/Google (GOOGL)</t>
    </r>
    <r>
      <rPr>
        <rFont val="Arial"/>
        <color rgb="FF000000"/>
        <sz val="12.0"/>
      </rPr>
      <t xml:space="preserve"> и </t>
    </r>
    <r>
      <rPr>
        <rFont val="Arial"/>
        <b/>
        <color rgb="FF000000"/>
        <sz val="12.0"/>
      </rPr>
      <t>Meta (META)</t>
    </r>
  </si>
  <si>
    <r>
      <rPr>
        <rFont val="Arial"/>
        <color theme="1"/>
        <sz val="12.0"/>
      </rPr>
      <t xml:space="preserve">Лидеры - </t>
    </r>
    <r>
      <rPr>
        <rFont val="Arial"/>
        <b/>
        <color theme="1"/>
        <sz val="12.0"/>
      </rPr>
      <t>Costco Wholesale Corporation (COST) и Pepsico, Inc. (PEP)</t>
    </r>
  </si>
  <si>
    <t>Итоговая рекомендация:</t>
  </si>
  <si>
    <r>
      <rPr>
        <rFont val="Calibri"/>
        <color theme="1"/>
      </rPr>
      <t xml:space="preserve">По результатам сравнительного анализа всех трёх блоков показателей в финальную выборку от отрасли "Технологии и полупроводники" проходят </t>
    </r>
    <r>
      <rPr>
        <rFont val="Calibri"/>
        <b/>
        <color theme="1"/>
      </rPr>
      <t xml:space="preserve">Apple (AAPL) </t>
    </r>
    <r>
      <rPr>
        <rFont val="Calibri"/>
        <color theme="1"/>
      </rPr>
      <t xml:space="preserve">и </t>
    </r>
    <r>
      <rPr>
        <rFont val="Calibri"/>
        <b/>
        <color theme="1"/>
      </rPr>
      <t>ASML Holding (ASML)</t>
    </r>
    <r>
      <rPr>
        <rFont val="Calibri"/>
        <color theme="1"/>
      </rPr>
      <t>. Обе компании являются лидерами по рентабельности и привлекательности рыночной оценки, а низкая краткосрочная ликвидность Apple оправдана фундаментально сильным бизнесом и исключительной эффективностью использования капитала. Microsoft и AMD, несмотря на сильные показатели финансовой устойчивости, не прошли отбор ввиду отставания по отдаче на капитал у первой и критически низкой операционной эффективности при сильной переоценке рынком у второй.</t>
    </r>
  </si>
  <si>
    <t>По результатам сравнительного анализа всех трёх блоков показателей в финальную выборку от отрасли «Потребительский discretionary, e-commerce и онлайн-сервисы» проходят PDD Holdings (PDD) и Amazon (AMZN). PDD является безусловным лидером отрасли по совокупности критериев: компания занимает первые позиции по рентабельности, обладает наиболее привлекательной рыночной оценкой и демонстрирует лучшие показатели финансовой устойчивости, неизменно занимая лидирующие позиции во всех трёх блоках анализа. Amazon проходит отбор как компания с наиболее сбалансированным профилем среди оставшихся претендентов: восстанавливающаяся и растущая рентабельность, умеренная рыночная оценка  и управляемая долговая нагрузка. MercadoLibre, несмотря на лидерство по ROE и сильную динамику роста, не проходит отбор ввиду более дорогой рыночной оценки и более высокой долговой нагрузки. Tesla выбывает из-за сочетания устойчивого снижения рентабельности по всем метрикам и критически завышенных мультипликаторов, которые несовместимы с реальными финансовыми результатами компании.</t>
  </si>
  <si>
    <r>
      <rPr>
        <rFont val="Arial"/>
        <color rgb="FF000000"/>
        <sz val="12.0"/>
      </rPr>
      <t xml:space="preserve">По результатам сравнительного анализа всех трёх блоков показателей в финальную выборку от отрасли "Коммуникационные сервисы, digital-реклама и подписки" проходят </t>
    </r>
    <r>
      <rPr>
        <rFont val="Arial"/>
        <b/>
        <color rgb="FF000000"/>
        <sz val="12.0"/>
      </rPr>
      <t>Alphabet/Google (GOOGL)</t>
    </r>
    <r>
      <rPr>
        <rFont val="Arial"/>
        <color rgb="FF000000"/>
        <sz val="12.0"/>
      </rPr>
      <t xml:space="preserve"> и </t>
    </r>
    <r>
      <rPr>
        <rFont val="Arial"/>
        <b/>
        <color rgb="FF000000"/>
        <sz val="12.0"/>
      </rPr>
      <t>Meta Platforms (META)</t>
    </r>
    <r>
      <rPr>
        <rFont val="Arial"/>
        <color rgb="FF000000"/>
        <sz val="12.0"/>
      </rPr>
      <t>. Обе компании являются лидерами по рентабельности и финансовой устойчивости, а их более высокая рыночная оценка относительно CHTR</t>
    </r>
    <r>
      <rPr>
        <rFont val="Arial"/>
        <b/>
        <color rgb="FF000000"/>
        <sz val="12.0"/>
      </rPr>
      <t xml:space="preserve"> </t>
    </r>
    <r>
      <rPr>
        <rFont val="Arial"/>
        <color rgb="FF000000"/>
        <sz val="12.0"/>
      </rPr>
      <t>и TMUS оправдана фундаментально сильным бизнесом и высокой рентабельностью. Charter Communications и T-Mobile, несмотря на формально низкие мультипликаторы, не прошли отбор ввиду слабой операционной эффективности и высокой долговой нагрузки.</t>
    </r>
  </si>
  <si>
    <t>По результатам сравнительного анализа всех трех блоков показателей в финальную выборку от отрасли «Здравоохранение, биотехнологии и медицинские технологии» были выбраны Regeneron Pharmaceuticals (REGN) и Amgen (AMGN). Regeneron является безусловным лидером отрасли по совокупности критериев: компания демонстрирует наиболее высокую рентабельность продаж в группе (31,1%), наиболее привлекательную рыночную оценку по P/E среди компаний с положительной прибылью (18,43x) и абсолютную финансовую устойчивость с практически нулевым чистым долгом и наивысшей ликвидностью в отрасли. AMGN также был выбран как компания с наиболее сбалансированным профилем среди оставшихся претендентов: лидерство по ROE, наименьший EV/EBITDA в группе (13,68x) и достаточный уровень ликвидности, несмотря на повышенную долговую нагрузку, оправданную масштабом и устойчивостью денежных потоков компании. GILD не проходит отбор ввиду резкого ухудшения всех показателей рентабельности в 2024 году и слишком высоких мультипликаторов, а VRTX  из-за сочетания отрицательной рентабельности по итогам 2024 года и сильно завышенного EV/EBITDA, несмотря на лидирующую финансовую устойчивость.</t>
  </si>
  <si>
    <r>
      <rPr>
        <rFont val="Arial"/>
        <color theme="1"/>
      </rPr>
      <t xml:space="preserve">По результатам анализа трех блоков показателей в финальную выборку по отрасли «Потребительские товары повседневного спроса» проходят </t>
    </r>
    <r>
      <rPr>
        <rFont val="Arial"/>
        <b/>
        <color theme="1"/>
      </rPr>
      <t>Costco (COST) и PepsiCo (PEP)</t>
    </r>
    <r>
      <rPr>
        <rFont val="Arial"/>
        <color theme="1"/>
      </rPr>
      <t>.
Обе компании входят в число лидеров по двум из трёх направлений. Costco показывает лучшие результаты по рентабельности (ROIC 25,48%, ROA 10,61%) и финансовой устойчивости (отрицательный ND/EBITDA). PepsiCo имеет самый высокий ROE в группе (52,42%) и умеренную, снижающуюся долговую нагрузку.
Mondelez и CCEP отличаются наиболее низкими мультипликаторами (P/E, EV/EBITDA, P/S), но их рентабельность заметно ниже, чем у Costco и PepsiCo, а показатели финансовой устойчивости находятся на среднем уровне. Таким образом, их низкая рыночная оценка соответствует более скромным финансовым результатам, а не недооцененности.</t>
    </r>
  </si>
  <si>
    <t>Ticker</t>
  </si>
  <si>
    <t>2024</t>
  </si>
  <si>
    <t>PEG = P E/EPS growth rate</t>
  </si>
  <si>
    <t>Отрасль Технологии и полупроводники</t>
  </si>
  <si>
    <t>Итог</t>
  </si>
  <si>
    <t>Profit margin</t>
  </si>
  <si>
    <t>Year</t>
  </si>
  <si>
    <t>Price</t>
  </si>
  <si>
    <t>Revenue</t>
  </si>
  <si>
    <t>Gross Profit</t>
  </si>
  <si>
    <t>Net Income</t>
  </si>
  <si>
    <t>EPS</t>
  </si>
  <si>
    <t>DPS</t>
  </si>
  <si>
    <t>Diluted Shares</t>
  </si>
  <si>
    <t>FCF</t>
  </si>
  <si>
    <t>Operating Cash Flow</t>
  </si>
  <si>
    <t>Capital Expenditure</t>
  </si>
  <si>
    <t>Common Dividends Paid</t>
  </si>
  <si>
    <t>Cash</t>
  </si>
  <si>
    <t>Current Assets</t>
  </si>
  <si>
    <t>Total Assets</t>
  </si>
  <si>
    <t>Average Total Assets</t>
  </si>
  <si>
    <t>Current Liabilities</t>
  </si>
  <si>
    <t>Inventory</t>
  </si>
  <si>
    <t>Equity</t>
  </si>
  <si>
    <t>Average Equity</t>
  </si>
  <si>
    <t>Total Debt</t>
  </si>
  <si>
    <t>Invested Capital</t>
  </si>
  <si>
    <t>EBITDA</t>
  </si>
  <si>
    <t>EBIT</t>
  </si>
  <si>
    <t>Interest Expense</t>
  </si>
  <si>
    <t>Pretax Income</t>
  </si>
  <si>
    <t>Tax Provision</t>
  </si>
  <si>
    <t>Tax Rate</t>
  </si>
  <si>
    <t>Warnings</t>
  </si>
  <si>
    <t>Gross Margin</t>
  </si>
  <si>
    <t>Operating Margin</t>
  </si>
  <si>
    <t>Net Profit Margin</t>
  </si>
  <si>
    <t>NOPAT</t>
  </si>
  <si>
    <t>Payout Ratio based on NI</t>
  </si>
  <si>
    <t>Payout Ratio based on FCF</t>
  </si>
  <si>
    <t>D/E</t>
  </si>
  <si>
    <t>Interest Coverage</t>
  </si>
  <si>
    <t>OCF / Total Debt</t>
  </si>
  <si>
    <t>Net Debt</t>
  </si>
  <si>
    <t>Net Debt / EBITDA</t>
  </si>
  <si>
    <t>Market Cap</t>
  </si>
  <si>
    <t>EV</t>
  </si>
  <si>
    <t>P/FCF</t>
  </si>
  <si>
    <t>Dividend Yield</t>
  </si>
  <si>
    <t>P/B</t>
  </si>
  <si>
    <t>missing prev balance column</t>
  </si>
  <si>
    <t>Name</t>
  </si>
  <si>
    <t>Yahoo Sector</t>
  </si>
  <si>
    <t>Yahoo Industry</t>
  </si>
  <si>
    <t>Apple Inc.</t>
  </si>
  <si>
    <t>Technology</t>
  </si>
  <si>
    <t>Consumer Electronics</t>
  </si>
  <si>
    <t>Microsoft Corporation</t>
  </si>
  <si>
    <t>Software - Infrastructure</t>
  </si>
  <si>
    <t>Advanced Micro Devices, Inc.</t>
  </si>
  <si>
    <t>Semiconductors</t>
  </si>
  <si>
    <t>ASML Holding N.V. - New York Re</t>
  </si>
  <si>
    <t>Semiconductor Equipment &amp; Materials</t>
  </si>
  <si>
    <t>Amazon.com, Inc.</t>
  </si>
  <si>
    <t>Consumer Cyclical</t>
  </si>
  <si>
    <t>Internet Retail</t>
  </si>
  <si>
    <t>Tesla, Inc.</t>
  </si>
  <si>
    <t>Auto Manufacturers</t>
  </si>
  <si>
    <t>MercadoLibre, Inc.</t>
  </si>
  <si>
    <t>PDD Holdings Inc.</t>
  </si>
  <si>
    <t>Alphabet Inc.</t>
  </si>
  <si>
    <t>Communication Services</t>
  </si>
  <si>
    <t>Internet Content &amp; Information</t>
  </si>
  <si>
    <t>Meta Platforms, Inc.</t>
  </si>
  <si>
    <t>Netflix, Inc.</t>
  </si>
  <si>
    <t>Entertainment</t>
  </si>
  <si>
    <t>T-Mobile US, Inc.</t>
  </si>
  <si>
    <t>Telecom Services</t>
  </si>
  <si>
    <t>Charter Communications, Inc.</t>
  </si>
  <si>
    <t>Amgen Inc.</t>
  </si>
  <si>
    <t>Healthcare</t>
  </si>
  <si>
    <t>Drug Manufacturers - General</t>
  </si>
  <si>
    <t>Gilead Sciences, Inc.</t>
  </si>
  <si>
    <t>Regeneron Pharmaceuticals, Inc.</t>
  </si>
  <si>
    <t>Biotechnology</t>
  </si>
  <si>
    <t>Vertex Pharmaceuticals Incorpor</t>
  </si>
  <si>
    <t>Costco Wholesale Corporation</t>
  </si>
  <si>
    <t>Consumer Defensive</t>
  </si>
  <si>
    <t>Discount Stores</t>
  </si>
  <si>
    <t>Pepsico, Inc.</t>
  </si>
  <si>
    <t>Beverages - Non-Alcoholic</t>
  </si>
  <si>
    <t>Mondelez International, Inc.</t>
  </si>
  <si>
    <t>Confectioners</t>
  </si>
  <si>
    <t>Keurig Dr Pepper Inc.</t>
  </si>
  <si>
    <t xml:space="preserve">Coca-Cola Europacific Partners </t>
  </si>
  <si>
    <t>Start Year</t>
  </si>
  <si>
    <t>End Year (Base)</t>
  </si>
  <si>
    <t>Revenue CAGR</t>
  </si>
  <si>
    <t>Net Income CAGR</t>
  </si>
  <si>
    <t>EPS CAGR</t>
  </si>
  <si>
    <t>DPS CAGR</t>
  </si>
  <si>
    <t>FCF CAGR</t>
  </si>
  <si>
    <t>Average Gross Margin</t>
  </si>
  <si>
    <t>Average Operating Margin</t>
  </si>
  <si>
    <t>Average Net Profit Margin</t>
  </si>
  <si>
    <t>Average ROE</t>
  </si>
  <si>
    <t>Average ROA</t>
  </si>
  <si>
    <t>Average ROIC</t>
  </si>
  <si>
    <t>Average Tax Rate</t>
  </si>
  <si>
    <t>Average Payout NI</t>
  </si>
  <si>
    <t>Average Payout FCF</t>
  </si>
  <si>
    <t>Average D/E</t>
  </si>
  <si>
    <t>Average Interest Coverage</t>
  </si>
  <si>
    <t>Average OCF / Total Debt</t>
  </si>
  <si>
    <t>Average Net Debt / EBITDA</t>
  </si>
  <si>
    <t>Average Current Ratio</t>
  </si>
  <si>
    <t>Average Quick Ratio</t>
  </si>
  <si>
    <t>Average Cash Ratio</t>
  </si>
  <si>
    <t>Latest Price</t>
  </si>
  <si>
    <t>Latest DPS</t>
  </si>
  <si>
    <t>Latest EPS</t>
  </si>
  <si>
    <t>Latest FCF</t>
  </si>
  <si>
    <t>Latest Revenue</t>
  </si>
  <si>
    <t>Latest EBITDA</t>
  </si>
  <si>
    <t>Latest Total Debt</t>
  </si>
  <si>
    <t>Latest Cash</t>
  </si>
  <si>
    <t>Latest Equity</t>
  </si>
  <si>
    <t>Latest Diluted Shares</t>
  </si>
  <si>
    <t>Market Cap (2024)</t>
  </si>
  <si>
    <t>EV (2024)</t>
  </si>
  <si>
    <t>P/E (2024)</t>
  </si>
  <si>
    <t>P/S (2024)</t>
  </si>
  <si>
    <t>P/FCF (2024)</t>
  </si>
  <si>
    <t>EV/EBITDA (2024)</t>
  </si>
  <si>
    <t>Dividend Yield (2024)</t>
  </si>
  <si>
    <t>P/B (2024)</t>
  </si>
  <si>
    <t>PEG (2024)</t>
  </si>
  <si>
    <t>Price (2025)</t>
  </si>
  <si>
    <t>Revenue (2025)</t>
  </si>
  <si>
    <t>Gross Profit (2025)</t>
  </si>
  <si>
    <t>Net Income (2025)</t>
  </si>
  <si>
    <t>EPS (2025)</t>
  </si>
  <si>
    <t>DPS (2025)</t>
  </si>
  <si>
    <t>Diluted Shares (2025)</t>
  </si>
  <si>
    <t>FCF (2025)</t>
  </si>
  <si>
    <t>Operating Cash Flow (2025)</t>
  </si>
  <si>
    <t>Capital Expenditure (2025)</t>
  </si>
  <si>
    <t>Common Dividends Paid (2025)</t>
  </si>
  <si>
    <t>Cash (2025)</t>
  </si>
  <si>
    <t>Current Assets (2025)</t>
  </si>
  <si>
    <t>Total Assets (2025)</t>
  </si>
  <si>
    <t>Average Total Assets (2025)</t>
  </si>
  <si>
    <t>Current Liabilities (2025)</t>
  </si>
  <si>
    <t>Inventory (2025)</t>
  </si>
  <si>
    <t>Equity (2025)</t>
  </si>
  <si>
    <t>Average Equity (2025)</t>
  </si>
  <si>
    <t>Total Debt (2025)</t>
  </si>
  <si>
    <t>Invested Capital (2025)</t>
  </si>
  <si>
    <t>EBITDA (2025)</t>
  </si>
  <si>
    <t>EBIT (2025)</t>
  </si>
  <si>
    <t>Interest Expense (2025)</t>
  </si>
  <si>
    <t>Pretax Income (2025)</t>
  </si>
  <si>
    <t>Tax Provision (2025)</t>
  </si>
  <si>
    <t>Tax Rate (2025)</t>
  </si>
  <si>
    <t>Gross Margin (2025)</t>
  </si>
  <si>
    <t>Operating Margin (2025)</t>
  </si>
  <si>
    <t>Net Profit Margin (2025)</t>
  </si>
  <si>
    <t>ROE (2025)</t>
  </si>
  <si>
    <t>ROA (2025)</t>
  </si>
  <si>
    <t>NOPAT (2025)</t>
  </si>
  <si>
    <t>ROIC (2025)</t>
  </si>
  <si>
    <t>Payout Ratio based on NI (2025)</t>
  </si>
  <si>
    <t>Payout Ratio based on FCF (2025)</t>
  </si>
  <si>
    <t>D/E (2025)</t>
  </si>
  <si>
    <t>Interest Coverage (2025)</t>
  </si>
  <si>
    <t>OCF / Total Debt (2025)</t>
  </si>
  <si>
    <t>Net Debt (2025)</t>
  </si>
  <si>
    <t>Net Debt / EBITDA (2025)</t>
  </si>
  <si>
    <t>Current Ratio (2025)</t>
  </si>
  <si>
    <t>Quick Ratio (2025)</t>
  </si>
  <si>
    <t>Cash Ratio (2025)</t>
  </si>
  <si>
    <t>Market Cap (2025)</t>
  </si>
  <si>
    <t>EV (2025)</t>
  </si>
  <si>
    <t>P/E (2025)</t>
  </si>
  <si>
    <t>P/S (2025)</t>
  </si>
  <si>
    <t>P/FCF (2025)</t>
  </si>
  <si>
    <t>EV/EBITDA (2025)</t>
  </si>
  <si>
    <t>Dividend Yield (2025)</t>
  </si>
  <si>
    <t>P/B (2025)</t>
  </si>
  <si>
    <t>PEG (2025)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</si>
</sst>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0;(#,##0.00)"/>
    <numFmt numFmtId="166" formatCode="&quot;$&quot;#,##0.00"/>
    <numFmt numFmtId="167" formatCode="_(&quot;$&quot;* #,##0.00_);_(&quot;$&quot;* \(#,##0.00\);_(&quot;$&quot;* &quot;-&quot;??_);_(@_)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000000"/>
      <name val="Calibri"/>
      <scheme val="minor"/>
    </font>
    <font>
      <sz val="12.0"/>
      <color theme="1"/>
      <name val="Calibri"/>
    </font>
    <font>
      <sz val="12.0"/>
      <color rgb="FF000000"/>
      <name val="Arial"/>
    </font>
    <font>
      <sz val="12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rgb="FF000000"/>
      <name val="Calibri"/>
      <scheme val="minor"/>
    </font>
    <font>
      <b/>
      <sz val="11.0"/>
      <color theme="1"/>
      <name val="Arial"/>
    </font>
    <font>
      <b/>
      <color theme="1"/>
      <name val="Calibri"/>
      <scheme val="minor"/>
    </font>
    <font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DD9C4"/>
        <bgColor rgb="FFDDD9C4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3FF00"/>
        <bgColor rgb="FF03FF00"/>
      </patternFill>
    </fill>
    <fill>
      <patternFill patternType="solid">
        <fgColor rgb="FFCC0100"/>
        <bgColor rgb="FFCC0100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right" vertical="bottom"/>
    </xf>
    <xf borderId="1" fillId="3" fontId="3" numFmtId="10" xfId="0" applyAlignment="1" applyBorder="1" applyFill="1" applyFont="1" applyNumberFormat="1">
      <alignment horizontal="center" vertical="bottom"/>
    </xf>
    <xf borderId="1" fillId="3" fontId="5" numFmtId="10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0" xfId="0" applyAlignment="1" applyBorder="1" applyFill="1" applyFont="1" applyNumberFormat="1">
      <alignment horizontal="center" vertical="bottom"/>
    </xf>
    <xf borderId="1" fillId="5" fontId="5" numFmtId="10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5" fontId="3" numFmtId="10" xfId="0" applyAlignment="1" applyBorder="1" applyFont="1" applyNumberFormat="1">
      <alignment horizontal="center" vertical="bottom"/>
    </xf>
    <xf borderId="1" fillId="4" fontId="5" numFmtId="10" xfId="0" applyAlignment="1" applyBorder="1" applyFont="1" applyNumberFormat="1">
      <alignment horizontal="center" vertical="bottom"/>
    </xf>
    <xf borderId="1" fillId="6" fontId="5" numFmtId="10" xfId="0" applyAlignment="1" applyBorder="1" applyFill="1" applyFont="1" applyNumberFormat="1">
      <alignment horizontal="center" vertical="bottom"/>
    </xf>
    <xf borderId="1" fillId="6" fontId="3" numFmtId="1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right" vertical="bottom"/>
    </xf>
    <xf borderId="1" fillId="7" fontId="3" numFmtId="10" xfId="0" applyAlignment="1" applyBorder="1" applyFill="1" applyFont="1" applyNumberFormat="1">
      <alignment horizontal="center" vertical="bottom"/>
    </xf>
    <xf borderId="1" fillId="7" fontId="5" numFmtId="10" xfId="0" applyAlignment="1" applyBorder="1" applyFont="1" applyNumberFormat="1">
      <alignment horizontal="center" vertical="bottom"/>
    </xf>
    <xf borderId="1" fillId="0" fontId="3" numFmtId="10" xfId="0" applyAlignment="1" applyBorder="1" applyFont="1" applyNumberFormat="1">
      <alignment horizontal="center" vertical="bottom"/>
    </xf>
    <xf borderId="1" fillId="8" fontId="3" numFmtId="10" xfId="0" applyAlignment="1" applyBorder="1" applyFill="1" applyFont="1" applyNumberFormat="1">
      <alignment horizontal="center" vertical="bottom"/>
    </xf>
    <xf borderId="1" fillId="8" fontId="5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1" fillId="3" fontId="5" numFmtId="10" xfId="0" applyAlignment="1" applyBorder="1" applyFont="1" applyNumberFormat="1">
      <alignment horizontal="right" vertical="bottom"/>
    </xf>
    <xf borderId="1" fillId="6" fontId="5" numFmtId="10" xfId="0" applyAlignment="1" applyBorder="1" applyFont="1" applyNumberFormat="1">
      <alignment horizontal="right" vertical="bottom"/>
    </xf>
    <xf borderId="1" fillId="5" fontId="5" numFmtId="10" xfId="0" applyAlignment="1" applyBorder="1" applyFont="1" applyNumberFormat="1">
      <alignment horizontal="right" vertical="bottom"/>
    </xf>
    <xf borderId="1" fillId="4" fontId="5" numFmtId="10" xfId="0" applyAlignment="1" applyBorder="1" applyFont="1" applyNumberFormat="1">
      <alignment horizontal="right" vertical="bottom"/>
    </xf>
    <xf borderId="0" fillId="0" fontId="6" numFmtId="10" xfId="0" applyFont="1" applyNumberFormat="1"/>
    <xf borderId="1" fillId="7" fontId="5" numFmtId="10" xfId="0" applyAlignment="1" applyBorder="1" applyFont="1" applyNumberForma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1" fillId="8" fontId="5" numFmtId="10" xfId="0" applyAlignment="1" applyBorder="1" applyFont="1" applyNumberFormat="1">
      <alignment horizontal="right" vertical="bottom"/>
    </xf>
    <xf borderId="0" fillId="0" fontId="6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shrinkToFit="0" vertical="center" wrapText="1"/>
    </xf>
    <xf borderId="0" fillId="9" fontId="10" numFmtId="0" xfId="0" applyAlignment="1" applyFill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9" fontId="1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3" numFmtId="0" xfId="0" applyAlignment="1" applyFont="1">
      <alignment readingOrder="0"/>
    </xf>
    <xf borderId="1" fillId="4" fontId="3" numFmtId="4" xfId="0" applyAlignment="1" applyBorder="1" applyFont="1" applyNumberFormat="1">
      <alignment horizontal="center" vertical="bottom"/>
    </xf>
    <xf borderId="1" fillId="3" fontId="5" numFmtId="4" xfId="0" applyAlignment="1" applyBorder="1" applyFont="1" applyNumberFormat="1">
      <alignment horizontal="center" vertical="bottom"/>
    </xf>
    <xf borderId="1" fillId="6" fontId="5" numFmtId="2" xfId="0" applyAlignment="1" applyBorder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1" fillId="4" fontId="5" numFmtId="2" xfId="0" applyAlignment="1" applyBorder="1" applyFont="1" applyNumberFormat="1">
      <alignment horizontal="center" vertical="bottom"/>
    </xf>
    <xf borderId="1" fillId="5" fontId="5" numFmtId="2" xfId="0" applyAlignment="1" applyBorder="1" applyFont="1" applyNumberFormat="1">
      <alignment horizontal="center" vertical="bottom"/>
    </xf>
    <xf borderId="1" fillId="7" fontId="5" numFmtId="4" xfId="0" applyAlignment="1" applyBorder="1" applyFont="1" applyNumberFormat="1">
      <alignment horizontal="center" vertical="bottom"/>
    </xf>
    <xf borderId="1" fillId="3" fontId="3" numFmtId="4" xfId="0" applyAlignment="1" applyBorder="1" applyFont="1" applyNumberFormat="1">
      <alignment horizontal="center" vertical="bottom"/>
    </xf>
    <xf borderId="1" fillId="4" fontId="5" numFmtId="4" xfId="0" applyAlignment="1" applyBorder="1" applyFont="1" applyNumberFormat="1">
      <alignment horizontal="center" vertical="bottom"/>
    </xf>
    <xf borderId="1" fillId="6" fontId="5" numFmtId="4" xfId="0" applyAlignment="1" applyBorder="1" applyFont="1" applyNumberFormat="1">
      <alignment horizontal="center" vertical="bottom"/>
    </xf>
    <xf borderId="1" fillId="3" fontId="5" numFmtId="2" xfId="0" applyAlignment="1" applyBorder="1" applyFont="1" applyNumberFormat="1">
      <alignment horizontal="center" vertical="bottom"/>
    </xf>
    <xf borderId="1" fillId="5" fontId="5" numFmtId="4" xfId="0" applyAlignment="1" applyBorder="1" applyFont="1" applyNumberFormat="1">
      <alignment horizontal="center" vertical="bottom"/>
    </xf>
    <xf borderId="1" fillId="6" fontId="3" numFmtId="2" xfId="0" applyAlignment="1" applyBorder="1" applyFont="1" applyNumberFormat="1">
      <alignment horizontal="center" vertical="bottom"/>
    </xf>
    <xf borderId="1" fillId="7" fontId="5" numFmtId="2" xfId="0" applyAlignment="1" applyBorder="1" applyFont="1" applyNumberFormat="1">
      <alignment horizontal="center" vertical="bottom"/>
    </xf>
    <xf borderId="1" fillId="5" fontId="3" numFmtId="2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10" fontId="5" numFmtId="2" xfId="0" applyAlignment="1" applyBorder="1" applyFill="1" applyFont="1" applyNumberFormat="1">
      <alignment horizontal="right" vertical="bottom"/>
    </xf>
    <xf borderId="1" fillId="10" fontId="1" numFmtId="2" xfId="0" applyAlignment="1" applyBorder="1" applyFont="1" applyNumberFormat="1">
      <alignment vertical="bottom"/>
    </xf>
    <xf borderId="1" fillId="0" fontId="5" numFmtId="2" xfId="0" applyAlignment="1" applyBorder="1" applyFont="1" applyNumberFormat="1">
      <alignment horizontal="right" vertical="bottom"/>
    </xf>
    <xf borderId="1" fillId="10" fontId="5" numFmtId="2" xfId="0" applyAlignment="1" applyBorder="1" applyFont="1" applyNumberFormat="1">
      <alignment horizontal="center" vertical="bottom"/>
    </xf>
    <xf borderId="1" fillId="10" fontId="1" numFmtId="2" xfId="0" applyAlignment="1" applyBorder="1" applyFont="1" applyNumberFormat="1">
      <alignment horizontal="center" vertical="bottom"/>
    </xf>
    <xf borderId="1" fillId="4" fontId="3" numFmtId="2" xfId="0" applyAlignment="1" applyBorder="1" applyFont="1" applyNumberFormat="1">
      <alignment horizontal="center" vertical="bottom"/>
    </xf>
    <xf borderId="1" fillId="3" fontId="3" numFmtId="2" xfId="0" applyAlignment="1" applyBorder="1" applyFont="1" applyNumberFormat="1">
      <alignment horizontal="center" vertical="bottom"/>
    </xf>
    <xf borderId="1" fillId="7" fontId="3" numFmtId="2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2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4" fontId="5" numFmtId="2" xfId="0" applyAlignment="1" applyBorder="1" applyFont="1" applyNumberForma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1" fillId="3" fontId="5" numFmtId="2" xfId="0" applyAlignment="1" applyBorder="1" applyFont="1" applyNumberFormat="1">
      <alignment horizontal="right" vertical="bottom"/>
    </xf>
    <xf borderId="1" fillId="5" fontId="5" numFmtId="2" xfId="0" applyAlignment="1" applyBorder="1" applyFont="1" applyNumberForma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1" fillId="11" fontId="5" numFmtId="2" xfId="0" applyAlignment="1" applyBorder="1" applyFill="1" applyFont="1" applyNumberFormat="1">
      <alignment horizontal="center" vertical="bottom"/>
    </xf>
    <xf borderId="1" fillId="11" fontId="3" numFmtId="2" xfId="0" applyAlignment="1" applyBorder="1" applyFont="1" applyNumberFormat="1">
      <alignment horizontal="center" vertical="bottom"/>
    </xf>
    <xf borderId="1" fillId="10" fontId="3" numFmtId="2" xfId="0" applyAlignment="1" applyBorder="1" applyFont="1" applyNumberFormat="1">
      <alignment horizontal="center" vertical="bottom"/>
    </xf>
    <xf borderId="1" fillId="4" fontId="3" numFmtId="2" xfId="0" applyAlignment="1" applyBorder="1" applyFont="1" applyNumberFormat="1">
      <alignment horizontal="center" readingOrder="0" vertical="bottom"/>
    </xf>
    <xf borderId="1" fillId="8" fontId="3" numFmtId="2" xfId="0" applyAlignment="1" applyBorder="1" applyFont="1" applyNumberFormat="1">
      <alignment horizontal="center" vertical="bottom"/>
    </xf>
    <xf borderId="1" fillId="8" fontId="5" numFmtId="2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center" vertical="bottom"/>
    </xf>
    <xf borderId="0" fillId="0" fontId="15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9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9" fontId="10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1"/>
    </xf>
    <xf borderId="0" fillId="12" fontId="6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vertical="center" wrapText="1"/>
    </xf>
    <xf borderId="1" fillId="12" fontId="1" numFmtId="165" xfId="0" applyAlignment="1" applyBorder="1" applyFont="1" applyNumberFormat="1">
      <alignment vertical="bottom"/>
    </xf>
    <xf borderId="1" fillId="12" fontId="1" numFmtId="49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vertical="bottom"/>
    </xf>
    <xf borderId="1" fillId="10" fontId="1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1" fillId="3" fontId="6" numFmtId="10" xfId="0" applyBorder="1" applyFont="1" applyNumberFormat="1"/>
    <xf borderId="1" fillId="4" fontId="6" numFmtId="10" xfId="0" applyBorder="1" applyFont="1" applyNumberFormat="1"/>
    <xf borderId="1" fillId="5" fontId="6" numFmtId="10" xfId="0" applyBorder="1" applyFont="1" applyNumberFormat="1"/>
    <xf borderId="1" fillId="11" fontId="6" numFmtId="10" xfId="0" applyAlignment="1" applyBorder="1" applyFont="1" applyNumberFormat="1">
      <alignment readingOrder="0"/>
    </xf>
    <xf borderId="0" fillId="0" fontId="6" numFmtId="0" xfId="0" applyFont="1"/>
    <xf borderId="1" fillId="3" fontId="6" numFmtId="10" xfId="0" applyAlignment="1" applyBorder="1" applyFont="1" applyNumberFormat="1">
      <alignment readingOrder="0"/>
    </xf>
    <xf borderId="1" fillId="11" fontId="6" numFmtId="10" xfId="0" applyBorder="1" applyFont="1" applyNumberFormat="1"/>
    <xf borderId="1" fillId="5" fontId="6" numFmtId="10" xfId="0" applyAlignment="1" applyBorder="1" applyFont="1" applyNumberFormat="1">
      <alignment readingOrder="0"/>
    </xf>
    <xf borderId="1" fillId="4" fontId="6" numFmtId="10" xfId="0" applyAlignment="1" applyBorder="1" applyFont="1" applyNumberForma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1" fillId="0" fontId="6" numFmtId="0" xfId="0" applyBorder="1" applyFont="1"/>
    <xf borderId="1" fillId="0" fontId="6" numFmtId="2" xfId="0" applyBorder="1" applyFont="1" applyNumberFormat="1"/>
    <xf borderId="1" fillId="0" fontId="6" numFmtId="166" xfId="0" applyBorder="1" applyFont="1" applyNumberFormat="1"/>
    <xf borderId="1" fillId="0" fontId="6" numFmtId="165" xfId="0" applyBorder="1" applyFont="1" applyNumberFormat="1"/>
    <xf borderId="1" fillId="0" fontId="6" numFmtId="10" xfId="0" applyBorder="1" applyFont="1" applyNumberFormat="1"/>
    <xf borderId="1" fillId="0" fontId="6" numFmtId="164" xfId="0" applyBorder="1" applyFont="1" applyNumberFormat="1"/>
    <xf borderId="1" fillId="0" fontId="6" numFmtId="167" xfId="0" applyBorder="1" applyFont="1" applyNumberFormat="1"/>
    <xf borderId="0" fillId="0" fontId="6" numFmtId="2" xfId="0" applyFont="1" applyNumberFormat="1"/>
    <xf borderId="0" fillId="0" fontId="6" numFmtId="166" xfId="0" applyFont="1" applyNumberFormat="1"/>
    <xf borderId="0" fillId="0" fontId="6" numFmtId="165" xfId="0" applyFont="1" applyNumberFormat="1"/>
    <xf borderId="0" fillId="0" fontId="6" numFmtId="164" xfId="0" applyFont="1" applyNumberFormat="1"/>
    <xf borderId="0" fillId="0" fontId="6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5" max="15" width="16.57"/>
    <col customWidth="1" min="16" max="16" width="18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2" t="s">
        <v>0</v>
      </c>
      <c r="F3" s="1"/>
      <c r="G3" s="1"/>
      <c r="H3" s="2" t="s">
        <v>1</v>
      </c>
      <c r="P3" s="2" t="s">
        <v>2</v>
      </c>
      <c r="W3" s="1"/>
      <c r="X3" s="2" t="s">
        <v>3</v>
      </c>
      <c r="AF3" s="2" t="s">
        <v>4</v>
      </c>
      <c r="AL3" s="1"/>
      <c r="AM3" s="1"/>
      <c r="A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3">
        <v>1.0</v>
      </c>
      <c r="B6" s="4" t="s">
        <v>5</v>
      </c>
      <c r="C6" s="1"/>
      <c r="D6" s="1"/>
      <c r="E6" s="1"/>
      <c r="F6" s="1"/>
      <c r="G6" s="1"/>
      <c r="H6" s="3">
        <v>1.0</v>
      </c>
      <c r="I6" s="4" t="s">
        <v>5</v>
      </c>
      <c r="J6" s="1"/>
      <c r="K6" s="1"/>
      <c r="L6" s="1"/>
      <c r="M6" s="1"/>
      <c r="N6" s="1"/>
      <c r="O6" s="1"/>
      <c r="P6" s="3">
        <v>1.0</v>
      </c>
      <c r="Q6" s="4" t="s">
        <v>5</v>
      </c>
      <c r="R6" s="1"/>
      <c r="S6" s="1"/>
      <c r="T6" s="1"/>
      <c r="U6" s="1"/>
      <c r="V6" s="1"/>
      <c r="W6" s="1"/>
      <c r="X6" s="3">
        <v>1.0</v>
      </c>
      <c r="Y6" s="4" t="s">
        <v>5</v>
      </c>
      <c r="Z6" s="1"/>
      <c r="AA6" s="1"/>
      <c r="AB6" s="1"/>
      <c r="AC6" s="1"/>
      <c r="AD6" s="1"/>
      <c r="AE6" s="1"/>
      <c r="AF6" s="3">
        <v>1.0</v>
      </c>
      <c r="AG6" s="4" t="s">
        <v>5</v>
      </c>
      <c r="AH6" s="1"/>
      <c r="AI6" s="1"/>
      <c r="AJ6" s="1"/>
      <c r="AK6" s="1"/>
    </row>
    <row r="7">
      <c r="A7" s="1"/>
      <c r="B7" s="5" t="s">
        <v>6</v>
      </c>
      <c r="C7" s="6">
        <v>2024.0</v>
      </c>
      <c r="D7" s="6">
        <v>2023.0</v>
      </c>
      <c r="E7" s="6">
        <v>2022.0</v>
      </c>
      <c r="G7" s="1"/>
      <c r="H7" s="1"/>
      <c r="I7" s="5" t="s">
        <v>6</v>
      </c>
      <c r="J7" s="6">
        <v>2024.0</v>
      </c>
      <c r="K7" s="7">
        <v>2023.0</v>
      </c>
      <c r="L7" s="7">
        <v>2022.0</v>
      </c>
      <c r="O7" s="1"/>
      <c r="P7" s="8"/>
      <c r="Q7" s="9" t="s">
        <v>6</v>
      </c>
      <c r="R7" s="6">
        <v>2024.0</v>
      </c>
      <c r="S7" s="6">
        <v>2023.0</v>
      </c>
      <c r="T7" s="6">
        <v>2022.0</v>
      </c>
      <c r="W7" s="1"/>
      <c r="X7" s="1"/>
      <c r="Y7" s="5" t="s">
        <v>6</v>
      </c>
      <c r="Z7" s="6">
        <v>2024.0</v>
      </c>
      <c r="AA7" s="6">
        <v>2023.0</v>
      </c>
      <c r="AB7" s="6">
        <v>2022.0</v>
      </c>
      <c r="AE7" s="1"/>
      <c r="AF7" s="1"/>
      <c r="AG7" s="5" t="s">
        <v>6</v>
      </c>
      <c r="AH7" s="6">
        <v>2024.0</v>
      </c>
      <c r="AI7" s="7">
        <v>2023.0</v>
      </c>
      <c r="AJ7" s="7">
        <v>2022.0</v>
      </c>
    </row>
    <row r="8">
      <c r="A8" s="10">
        <v>1.0</v>
      </c>
      <c r="B8" s="9" t="s">
        <v>7</v>
      </c>
      <c r="C8" s="11">
        <f>ROE!D2</f>
        <v>1.574125076</v>
      </c>
      <c r="D8" s="12">
        <f>ROE!C2</f>
        <v>1.719495116</v>
      </c>
      <c r="E8" s="12">
        <f>ROE!B2</f>
        <v>1.969588728</v>
      </c>
      <c r="G8" s="1"/>
      <c r="H8" s="10">
        <v>1.0</v>
      </c>
      <c r="I8" s="13" t="s">
        <v>8</v>
      </c>
      <c r="J8" s="14">
        <f>ROE!D5</f>
        <v>0.2428968217</v>
      </c>
      <c r="K8" s="15">
        <f>ROE!C5</f>
        <v>0.1748975333</v>
      </c>
      <c r="L8" s="15">
        <f>ROE!B5</f>
        <v>-0.01863834624</v>
      </c>
      <c r="O8" s="1"/>
      <c r="P8" s="16">
        <v>1.0</v>
      </c>
      <c r="Q8" s="13" t="s">
        <v>9</v>
      </c>
      <c r="R8" s="17">
        <f>ROE!D11</f>
        <v>0.3290849238</v>
      </c>
      <c r="S8" s="18">
        <f>ROE!C11</f>
        <v>0.2735564564</v>
      </c>
      <c r="T8" s="19">
        <f>ROE!B11</f>
        <v>0.2341339247</v>
      </c>
      <c r="W8" s="1"/>
      <c r="X8" s="10">
        <v>1.0</v>
      </c>
      <c r="Y8" s="13" t="s">
        <v>10</v>
      </c>
      <c r="Z8" s="11">
        <f>ROE!D4</f>
        <v>0.6755305971</v>
      </c>
      <c r="AA8" s="12">
        <f>ROE!C4</f>
        <v>1.357929849</v>
      </c>
      <c r="AB8" s="12">
        <f>ROE!B4</f>
        <v>1.789674952</v>
      </c>
      <c r="AE8" s="1"/>
      <c r="AF8" s="16">
        <v>1.0</v>
      </c>
      <c r="AG8" s="13" t="s">
        <v>11</v>
      </c>
      <c r="AH8" s="20">
        <f>ROE!D9</f>
        <v>0.3026705012</v>
      </c>
      <c r="AI8" s="19">
        <f>ROE!C9</f>
        <v>0.2753610503</v>
      </c>
      <c r="AJ8" s="19">
        <f>ROE!B9</f>
        <v>0.2831121015</v>
      </c>
    </row>
    <row r="9">
      <c r="A9" s="16">
        <v>2.0</v>
      </c>
      <c r="B9" s="9" t="s">
        <v>12</v>
      </c>
      <c r="C9" s="14">
        <f>ROE!D16</f>
        <v>0.3713334738</v>
      </c>
      <c r="D9" s="18">
        <f>ROE!C16</f>
        <v>0.3882392392</v>
      </c>
      <c r="E9" s="18">
        <f>ROE!B16</f>
        <v>0.4367546925</v>
      </c>
      <c r="G9" s="1"/>
      <c r="H9" s="21">
        <v>2.0</v>
      </c>
      <c r="I9" s="13" t="s">
        <v>13</v>
      </c>
      <c r="J9" s="11">
        <f>ROE!D14</f>
        <v>0.5149555376</v>
      </c>
      <c r="K9" s="12">
        <f>ROE!C14</f>
        <v>0.4030216415</v>
      </c>
      <c r="L9" s="18">
        <f>ROE!B14</f>
        <v>0.2638204707</v>
      </c>
      <c r="O9" s="1"/>
      <c r="P9" s="16">
        <v>2.0</v>
      </c>
      <c r="Q9" s="13" t="s">
        <v>14</v>
      </c>
      <c r="R9" s="14">
        <f>ROE!D15</f>
        <v>0.3714060243</v>
      </c>
      <c r="S9" s="19">
        <f>ROE!C15</f>
        <v>0.2803919952</v>
      </c>
      <c r="T9" s="15">
        <f>ROE!B15</f>
        <v>0.184547342</v>
      </c>
      <c r="W9" s="1"/>
      <c r="X9" s="21">
        <v>2.0</v>
      </c>
      <c r="Y9" s="13" t="s">
        <v>15</v>
      </c>
      <c r="Z9" s="20">
        <f>ROE!D20</f>
        <v>0.1595106883</v>
      </c>
      <c r="AA9" s="15">
        <f>ROE!C20</f>
        <v>0.1625754825</v>
      </c>
      <c r="AB9" s="15">
        <f>ROE!B20</f>
        <v>0.1914225203</v>
      </c>
      <c r="AE9" s="1"/>
      <c r="AF9" s="16">
        <v>2.0</v>
      </c>
      <c r="AG9" s="13" t="s">
        <v>16</v>
      </c>
      <c r="AH9" s="11">
        <f>ROE!D19</f>
        <v>0.5241900175</v>
      </c>
      <c r="AI9" s="12">
        <f>ROE!C19</f>
        <v>0.5090317514</v>
      </c>
      <c r="AJ9" s="12">
        <f>ROE!B19</f>
        <v>0.519563823</v>
      </c>
    </row>
    <row r="10">
      <c r="A10" s="16">
        <v>3.0</v>
      </c>
      <c r="B10" s="9" t="s">
        <v>17</v>
      </c>
      <c r="C10" s="20">
        <f>ROE!D6</f>
        <v>0.474274332</v>
      </c>
      <c r="D10" s="19">
        <f>ROE!C6</f>
        <v>0.7042114341</v>
      </c>
      <c r="E10" s="19">
        <f>ROE!B6</f>
        <v>0.6383302311</v>
      </c>
      <c r="G10" s="1"/>
      <c r="H10" s="21">
        <v>3.0</v>
      </c>
      <c r="I10" s="13" t="s">
        <v>18</v>
      </c>
      <c r="J10" s="17">
        <f>ROE!D22</f>
        <v>0.1052033612</v>
      </c>
      <c r="K10" s="18">
        <f>ROE!C22</f>
        <v>0.2794723211</v>
      </c>
      <c r="L10" s="12">
        <f>ROE!B22</f>
        <v>0.2814736936</v>
      </c>
      <c r="O10" s="1"/>
      <c r="P10" s="16">
        <v>3.0</v>
      </c>
      <c r="Q10" s="13" t="s">
        <v>19</v>
      </c>
      <c r="R10" s="11">
        <f>ROE!D17</f>
        <v>0.3843489835</v>
      </c>
      <c r="S10" s="15">
        <f>ROE!C17</f>
        <v>0.2614720974</v>
      </c>
      <c r="T10" s="18">
        <f>ROE!B17</f>
        <v>0.216192776</v>
      </c>
      <c r="W10" s="1"/>
      <c r="X10" s="21">
        <v>3.0</v>
      </c>
      <c r="Y10" s="13" t="s">
        <v>20</v>
      </c>
      <c r="Z10" s="14">
        <f>ROE!D10</f>
        <v>0.02276877831</v>
      </c>
      <c r="AA10" s="19">
        <f>ROE!C10</f>
        <v>0.2570734917</v>
      </c>
      <c r="AB10" s="18">
        <f>ROE!B10</f>
        <v>0.2161958569</v>
      </c>
      <c r="AE10" s="1"/>
      <c r="AF10" s="16">
        <v>3.0</v>
      </c>
      <c r="AG10" s="13" t="s">
        <v>21</v>
      </c>
      <c r="AH10" s="17">
        <f>ROE!D13</f>
        <v>0.1668717429</v>
      </c>
      <c r="AI10" s="15">
        <f>ROE!C13</f>
        <v>0.1796251019</v>
      </c>
      <c r="AJ10" s="15">
        <f>ROE!B13</f>
        <v>0.1010675892</v>
      </c>
    </row>
    <row r="11">
      <c r="A11" s="16">
        <v>4.0</v>
      </c>
      <c r="B11" s="9" t="s">
        <v>22</v>
      </c>
      <c r="C11" s="17">
        <f>ROE!D3</f>
        <v>0.02892649392</v>
      </c>
      <c r="D11" s="15">
        <f>ROE!C3</f>
        <v>0.01543717576</v>
      </c>
      <c r="E11" s="15">
        <f>ROE!B3</f>
        <v>0.02410958904</v>
      </c>
      <c r="G11" s="1"/>
      <c r="H11" s="21">
        <v>4.0</v>
      </c>
      <c r="I11" s="13" t="s">
        <v>23</v>
      </c>
      <c r="J11" s="20">
        <f>ROE!D18</f>
        <v>0.4492396337</v>
      </c>
      <c r="K11" s="19">
        <f>ROE!C18</f>
        <v>0.3936005276</v>
      </c>
      <c r="L11" s="19">
        <f>ROE!B18</f>
        <v>0.2677916111</v>
      </c>
      <c r="O11" s="1"/>
      <c r="P11" s="16">
        <v>4.0</v>
      </c>
      <c r="Q11" s="13" t="s">
        <v>24</v>
      </c>
      <c r="R11" s="22">
        <f>ROE!D21</f>
        <v>0.1793351047</v>
      </c>
      <c r="S11" s="23">
        <f>ROE!C21</f>
        <v>0.1237915919</v>
      </c>
      <c r="T11" s="23">
        <f>ROE!B21</f>
        <v>0.03718272654</v>
      </c>
      <c r="W11" s="1"/>
      <c r="X11" s="21">
        <v>4.0</v>
      </c>
      <c r="Y11" s="13" t="s">
        <v>25</v>
      </c>
      <c r="Z11" s="24">
        <f>ROE!D23</f>
        <v>-0.03151515152</v>
      </c>
      <c r="AA11" s="18">
        <f>ROE!C23</f>
        <v>0.2298662247</v>
      </c>
      <c r="AB11" s="19">
        <f>ROE!B23</f>
        <v>0.2387746447</v>
      </c>
      <c r="AE11" s="1"/>
      <c r="AF11" s="16">
        <v>4.0</v>
      </c>
      <c r="AG11" s="13" t="s">
        <v>26</v>
      </c>
      <c r="AH11" s="25">
        <f>ROE!D12</f>
        <v>0.05773352832</v>
      </c>
      <c r="AI11" s="26">
        <f>ROE!C12</f>
        <v>0.08586276131</v>
      </c>
      <c r="AJ11" s="26">
        <f>ROE!B12</f>
        <v>0.05715195415</v>
      </c>
      <c r="AL11" s="1"/>
      <c r="AM11" s="1"/>
      <c r="AN11" s="1"/>
    </row>
    <row r="12">
      <c r="A12" s="2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6">
        <v>5.0</v>
      </c>
      <c r="Q12" s="13" t="s">
        <v>27</v>
      </c>
      <c r="R12" s="19">
        <f>ROE!D8</f>
        <v>0.3811344806</v>
      </c>
      <c r="S12" s="12">
        <f>ROE!C8</f>
        <v>0.4510764662</v>
      </c>
      <c r="T12" s="12">
        <f>ROE!B8</f>
        <v>0.5543370984</v>
      </c>
      <c r="V12" s="1"/>
      <c r="W12" s="1"/>
      <c r="X12" s="1"/>
      <c r="Y12" s="1"/>
      <c r="Z12" s="1"/>
      <c r="AA12" s="1"/>
      <c r="AB12" s="1"/>
      <c r="AC12" s="1"/>
      <c r="AE12" s="1"/>
      <c r="AF12" s="16">
        <v>5.0</v>
      </c>
      <c r="AG12" s="13" t="s">
        <v>28</v>
      </c>
      <c r="AH12" s="14">
        <f>ROE!D7</f>
        <v>0.1722441543</v>
      </c>
      <c r="AI12" s="18">
        <f>ROE!C7</f>
        <v>0.2164300071</v>
      </c>
      <c r="AJ12" s="18">
        <f>ROE!B7</f>
        <v>0.2024976501</v>
      </c>
      <c r="AL12" s="1"/>
      <c r="AM12" s="1"/>
      <c r="A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3">
        <v>2.0</v>
      </c>
      <c r="B14" s="4" t="s">
        <v>29</v>
      </c>
      <c r="C14" s="1"/>
      <c r="D14" s="1"/>
      <c r="E14" s="1"/>
      <c r="F14" s="1"/>
      <c r="G14" s="1"/>
      <c r="H14" s="3">
        <v>2.0</v>
      </c>
      <c r="I14" s="4" t="s">
        <v>29</v>
      </c>
      <c r="J14" s="1"/>
      <c r="K14" s="1"/>
      <c r="L14" s="1"/>
      <c r="M14" s="1"/>
      <c r="N14" s="1"/>
      <c r="O14" s="1"/>
      <c r="P14" s="3">
        <v>2.0</v>
      </c>
      <c r="Q14" s="4" t="s">
        <v>29</v>
      </c>
      <c r="R14" s="1"/>
      <c r="S14" s="1"/>
      <c r="T14" s="1"/>
      <c r="U14" s="1"/>
      <c r="V14" s="1"/>
      <c r="W14" s="1"/>
      <c r="X14" s="3">
        <v>2.0</v>
      </c>
      <c r="Y14" s="4" t="s">
        <v>29</v>
      </c>
      <c r="Z14" s="1"/>
      <c r="AA14" s="1"/>
      <c r="AB14" s="1"/>
      <c r="AC14" s="1"/>
      <c r="AE14" s="1"/>
      <c r="AF14" s="3">
        <v>2.0</v>
      </c>
      <c r="AG14" s="4" t="s">
        <v>29</v>
      </c>
      <c r="AH14" s="1"/>
      <c r="AI14" s="1"/>
      <c r="AJ14" s="1"/>
      <c r="AK14" s="1"/>
      <c r="AL14" s="1"/>
      <c r="AM14" s="1"/>
      <c r="AN14" s="1"/>
    </row>
    <row r="15">
      <c r="A15" s="1"/>
      <c r="B15" s="8"/>
      <c r="C15" s="6">
        <v>2024.0</v>
      </c>
      <c r="D15" s="6">
        <v>2023.0</v>
      </c>
      <c r="E15" s="6">
        <v>2022.0</v>
      </c>
      <c r="G15" s="1"/>
      <c r="H15" s="1"/>
      <c r="I15" s="8"/>
      <c r="J15" s="6">
        <v>2024.0</v>
      </c>
      <c r="K15" s="6">
        <v>2023.0</v>
      </c>
      <c r="L15" s="6">
        <v>2022.0</v>
      </c>
      <c r="O15" s="1"/>
      <c r="P15" s="1"/>
      <c r="Q15" s="8"/>
      <c r="R15" s="6">
        <v>2024.0</v>
      </c>
      <c r="S15" s="6">
        <v>2023.0</v>
      </c>
      <c r="T15" s="6">
        <v>2022.0</v>
      </c>
      <c r="V15" s="1"/>
      <c r="W15" s="1"/>
      <c r="X15" s="1"/>
      <c r="Y15" s="8"/>
      <c r="Z15" s="6">
        <v>2024.0</v>
      </c>
      <c r="AA15" s="6">
        <v>2023.0</v>
      </c>
      <c r="AB15" s="6">
        <v>2022.0</v>
      </c>
      <c r="AE15" s="1"/>
      <c r="AF15" s="1"/>
      <c r="AG15" s="8"/>
      <c r="AH15" s="6">
        <v>2024.0</v>
      </c>
      <c r="AI15" s="6">
        <v>2023.0</v>
      </c>
      <c r="AJ15" s="6">
        <v>2022.0</v>
      </c>
      <c r="AL15" s="1"/>
      <c r="AM15" s="1"/>
      <c r="AN15" s="1"/>
    </row>
    <row r="16">
      <c r="A16" s="16">
        <v>1.0</v>
      </c>
      <c r="B16" s="9" t="s">
        <v>7</v>
      </c>
      <c r="C16" s="28">
        <f>ROA!D2</f>
        <v>0.2612620773</v>
      </c>
      <c r="D16" s="28">
        <f>ROA!C2</f>
        <v>0.2750312616</v>
      </c>
      <c r="E16" s="28">
        <f>ROA!B2</f>
        <v>0.2829244093</v>
      </c>
      <c r="G16" s="1"/>
      <c r="H16" s="16">
        <v>1.0</v>
      </c>
      <c r="I16" s="13" t="s">
        <v>8</v>
      </c>
      <c r="J16" s="29">
        <f>ROA!D5</f>
        <v>0.1027943662</v>
      </c>
      <c r="K16" s="30">
        <f>ROA!C5</f>
        <v>0.06143182077</v>
      </c>
      <c r="L16" s="30">
        <f>ROA!B5</f>
        <v>-0.005883179338</v>
      </c>
      <c r="O16" s="1"/>
      <c r="P16" s="16">
        <v>1.0</v>
      </c>
      <c r="Q16" s="13" t="s">
        <v>9</v>
      </c>
      <c r="R16" s="29">
        <f>ROA!D11</f>
        <v>0.2348401685</v>
      </c>
      <c r="S16" s="28">
        <f>ROA!C11</f>
        <v>0.1922605959</v>
      </c>
      <c r="T16" s="28">
        <f>ROA!B11</f>
        <v>0.1641880941</v>
      </c>
      <c r="W16" s="1"/>
      <c r="X16" s="16">
        <v>1.0</v>
      </c>
      <c r="Y16" s="13" t="s">
        <v>10</v>
      </c>
      <c r="Z16" s="29">
        <f>ROA!D4</f>
        <v>0.04328202632</v>
      </c>
      <c r="AA16" s="30">
        <f>ROA!C4</f>
        <v>0.08278539516</v>
      </c>
      <c r="AB16" s="31">
        <f>ROA!B4</f>
        <v>0.1006127056</v>
      </c>
      <c r="AE16" s="1"/>
      <c r="AF16" s="16">
        <v>1.0</v>
      </c>
      <c r="AG16" s="13" t="s">
        <v>11</v>
      </c>
      <c r="AH16" s="28">
        <f>ROA!D9</f>
        <v>0.1061336215</v>
      </c>
      <c r="AI16" s="28">
        <f>ROA!C9</f>
        <v>0.09450285371</v>
      </c>
      <c r="AJ16" s="29">
        <f>ROA!B9</f>
        <v>0.09107627092</v>
      </c>
      <c r="AL16" s="1"/>
      <c r="AM16" s="1"/>
      <c r="AN16" s="1"/>
    </row>
    <row r="17">
      <c r="A17" s="16">
        <v>2.0</v>
      </c>
      <c r="B17" s="9" t="s">
        <v>12</v>
      </c>
      <c r="C17" s="29">
        <f>ROA!D16</f>
        <v>0.1907418689</v>
      </c>
      <c r="D17" s="31">
        <f>ROA!C16</f>
        <v>0.186301518</v>
      </c>
      <c r="E17" s="29">
        <f>ROA!B16</f>
        <v>0.1993695867</v>
      </c>
      <c r="G17" s="1"/>
      <c r="H17" s="16">
        <v>2.0</v>
      </c>
      <c r="I17" s="13" t="s">
        <v>13</v>
      </c>
      <c r="J17" s="31">
        <f>ROA!D14</f>
        <v>0.08928237713</v>
      </c>
      <c r="K17" s="31">
        <f>ROA!C14</f>
        <v>0.06297052444</v>
      </c>
      <c r="L17" s="31">
        <f>ROA!B14</f>
        <v>0.03509027373</v>
      </c>
      <c r="O17" s="1"/>
      <c r="P17" s="16">
        <v>2.0</v>
      </c>
      <c r="Q17" s="13" t="s">
        <v>14</v>
      </c>
      <c r="R17" s="28">
        <f>ROA!D15</f>
        <v>0.2466396534</v>
      </c>
      <c r="S17" s="29">
        <f>ROA!C15</f>
        <v>0.1882653184</v>
      </c>
      <c r="T17" s="29">
        <f>ROA!B15</f>
        <v>0.1249145251</v>
      </c>
      <c r="W17" s="1"/>
      <c r="X17" s="16">
        <v>2.0</v>
      </c>
      <c r="Y17" s="13" t="s">
        <v>15</v>
      </c>
      <c r="Z17" s="28">
        <f>ROA!D20</f>
        <v>0.1245800372</v>
      </c>
      <c r="AA17" s="29">
        <f>ROA!C20</f>
        <v>0.1269321467</v>
      </c>
      <c r="AB17" s="29">
        <f>ROA!B20</f>
        <v>0.1485016002</v>
      </c>
      <c r="AE17" s="1"/>
      <c r="AF17" s="16">
        <v>2.0</v>
      </c>
      <c r="AG17" s="13" t="s">
        <v>16</v>
      </c>
      <c r="AH17" s="29">
        <f>ROA!D19</f>
        <v>0.09579820166</v>
      </c>
      <c r="AI17" s="29">
        <f>ROA!C19</f>
        <v>0.09418627583</v>
      </c>
      <c r="AJ17" s="28">
        <f>ROA!B19</f>
        <v>0.09665137167</v>
      </c>
      <c r="AL17" s="32" t="str">
        <f>ROE!AL4</f>
        <v/>
      </c>
      <c r="AM17" s="32" t="str">
        <f>ROE!AM4</f>
        <v/>
      </c>
      <c r="AN17" s="32" t="str">
        <f>ROE!AN4</f>
        <v/>
      </c>
    </row>
    <row r="18">
      <c r="A18" s="16">
        <v>3.0</v>
      </c>
      <c r="B18" s="9" t="s">
        <v>17</v>
      </c>
      <c r="C18" s="31">
        <f>ROA!D6</f>
        <v>0.1710185878</v>
      </c>
      <c r="D18" s="29">
        <f>ROA!C6</f>
        <v>0.2055918141</v>
      </c>
      <c r="E18" s="31">
        <f>ROA!B6</f>
        <v>0.1549349318</v>
      </c>
      <c r="G18" s="1"/>
      <c r="H18" s="16">
        <v>3.0</v>
      </c>
      <c r="I18" s="13" t="s">
        <v>18</v>
      </c>
      <c r="J18" s="30">
        <f>ROA!D22</f>
        <v>0.06235569859</v>
      </c>
      <c r="K18" s="29">
        <f>ROA!C22</f>
        <v>0.1587565359</v>
      </c>
      <c r="L18" s="28">
        <f>ROA!B22</f>
        <v>0.1528212976</v>
      </c>
      <c r="O18" s="1"/>
      <c r="P18" s="16">
        <v>3.0</v>
      </c>
      <c r="Q18" s="13" t="s">
        <v>19</v>
      </c>
      <c r="R18" s="31">
        <f>ROA!D17</f>
        <v>0.1702115991</v>
      </c>
      <c r="S18" s="31">
        <f>ROA!C17</f>
        <v>0.1111305873</v>
      </c>
      <c r="T18" s="31">
        <f>ROA!B17</f>
        <v>0.09243637093</v>
      </c>
      <c r="W18" s="1"/>
      <c r="X18" s="16">
        <v>3.0</v>
      </c>
      <c r="Y18" s="13" t="s">
        <v>20</v>
      </c>
      <c r="Z18" s="31">
        <f>ROA!D10</f>
        <v>0.007926023778</v>
      </c>
      <c r="AA18" s="31">
        <f>ROA!C10</f>
        <v>0.09042587154</v>
      </c>
      <c r="AB18" s="30">
        <f>ROA!B10</f>
        <v>0.07269158316</v>
      </c>
      <c r="AE18" s="1"/>
      <c r="AF18" s="16">
        <v>3.0</v>
      </c>
      <c r="AG18" s="13" t="s">
        <v>21</v>
      </c>
      <c r="AH18" s="31">
        <f>ROA!D13</f>
        <v>0.06592416791</v>
      </c>
      <c r="AI18" s="31">
        <f>ROA!C13</f>
        <v>0.06957461137</v>
      </c>
      <c r="AJ18" s="30">
        <f>ROA!B13</f>
        <v>0.03818102612</v>
      </c>
      <c r="AL18" s="32" t="str">
        <f>ROE!AL18</f>
        <v/>
      </c>
      <c r="AM18" s="32" t="str">
        <f>ROE!AM18</f>
        <v/>
      </c>
      <c r="AN18" s="32" t="str">
        <f>ROE!AN18</f>
        <v/>
      </c>
    </row>
    <row r="19">
      <c r="A19" s="16">
        <v>4.0</v>
      </c>
      <c r="B19" s="9" t="s">
        <v>22</v>
      </c>
      <c r="C19" s="30">
        <f>ROA!D3</f>
        <v>0.02393681032</v>
      </c>
      <c r="D19" s="30">
        <f>ROA!C3</f>
        <v>0.01260842284</v>
      </c>
      <c r="E19" s="30">
        <f>ROA!B3</f>
        <v>0.01953240604</v>
      </c>
      <c r="G19" s="1"/>
      <c r="H19" s="16">
        <v>4.0</v>
      </c>
      <c r="I19" s="13" t="s">
        <v>23</v>
      </c>
      <c r="J19" s="28">
        <f>ROA!D18</f>
        <v>0.2635866206</v>
      </c>
      <c r="K19" s="28">
        <f>ROA!C18</f>
        <v>0.205149493</v>
      </c>
      <c r="L19" s="29">
        <f>ROA!B18</f>
        <v>0.1330046738</v>
      </c>
      <c r="O19" s="1"/>
      <c r="P19" s="16">
        <v>4.0</v>
      </c>
      <c r="Q19" s="13" t="s">
        <v>24</v>
      </c>
      <c r="R19" s="30">
        <f>ROA!D21</f>
        <v>0.05455153386</v>
      </c>
      <c r="S19" s="30">
        <f>ROA!C21</f>
        <v>0.03969738915</v>
      </c>
      <c r="T19" s="33">
        <f>ROA!B21</f>
        <v>0.01225524988</v>
      </c>
      <c r="W19" s="1"/>
      <c r="X19" s="16">
        <v>4.0</v>
      </c>
      <c r="Y19" s="13" t="s">
        <v>25</v>
      </c>
      <c r="Z19" s="34">
        <f>ROA!D23</f>
        <v>-0.02366591993</v>
      </c>
      <c r="AA19" s="28">
        <f>ROA!C23</f>
        <v>0.1770793839</v>
      </c>
      <c r="AB19" s="28">
        <f>ROA!B23</f>
        <v>0.1830212276</v>
      </c>
      <c r="AE19" s="1"/>
      <c r="AF19" s="16">
        <v>4.0</v>
      </c>
      <c r="AG19" s="13" t="s">
        <v>26</v>
      </c>
      <c r="AH19" s="35">
        <f>ROA!D12</f>
        <v>0.02730200834</v>
      </c>
      <c r="AI19" s="35">
        <f>ROA!C12</f>
        <v>0.04195562053</v>
      </c>
      <c r="AJ19" s="35">
        <f>ROA!B12</f>
        <v>0.02770222042</v>
      </c>
      <c r="AL19" s="32" t="str">
        <f>ROE!AL5</f>
        <v/>
      </c>
      <c r="AM19" s="32" t="str">
        <f>ROE!AM5</f>
        <v/>
      </c>
      <c r="AN19" s="32" t="str">
        <f>ROE!AN5</f>
        <v/>
      </c>
    </row>
    <row r="20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O20" s="1"/>
      <c r="P20" s="16">
        <v>5.0</v>
      </c>
      <c r="Q20" s="13" t="s">
        <v>27</v>
      </c>
      <c r="R20" s="33">
        <f>ROA!D8</f>
        <v>0.03420442578</v>
      </c>
      <c r="S20" s="33">
        <f>ROA!C8</f>
        <v>0.03124271552</v>
      </c>
      <c r="T20" s="30">
        <f>ROA!B8</f>
        <v>0.03497713167</v>
      </c>
      <c r="W20" s="1"/>
      <c r="X20" s="1"/>
      <c r="Y20" s="1"/>
      <c r="Z20" s="1"/>
      <c r="AA20" s="1"/>
      <c r="AB20" s="1"/>
      <c r="AC20" s="1"/>
      <c r="AD20" s="1"/>
      <c r="AE20" s="1"/>
      <c r="AF20" s="16">
        <v>5.0</v>
      </c>
      <c r="AG20" s="13" t="s">
        <v>28</v>
      </c>
      <c r="AH20" s="30">
        <f>ROA!D7</f>
        <v>0.04698942904</v>
      </c>
      <c r="AI20" s="30">
        <f>ROA!C7</f>
        <v>0.05699455325</v>
      </c>
      <c r="AJ20" s="31">
        <f>ROA!B7</f>
        <v>0.05144475148</v>
      </c>
      <c r="AL20" s="36" t="str">
        <f>ROE!AL8</f>
        <v/>
      </c>
      <c r="AM20" s="36" t="str">
        <f>ROE!AM8</f>
        <v/>
      </c>
      <c r="AN20" s="36" t="str">
        <f>ROE!AN8</f>
        <v/>
      </c>
    </row>
    <row r="21">
      <c r="A21" s="1"/>
      <c r="B21" s="1"/>
      <c r="C21" s="1"/>
      <c r="D21" s="1"/>
      <c r="E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L21" s="1"/>
      <c r="AM21" s="1"/>
      <c r="AN21" s="1"/>
    </row>
    <row r="22">
      <c r="A22" s="3">
        <v>3.0</v>
      </c>
      <c r="B22" s="4" t="s">
        <v>30</v>
      </c>
      <c r="C22" s="1"/>
      <c r="D22" s="1"/>
      <c r="E22" s="1"/>
      <c r="G22" s="1"/>
      <c r="H22" s="3">
        <v>3.0</v>
      </c>
      <c r="I22" s="4" t="s">
        <v>30</v>
      </c>
      <c r="J22" s="1"/>
      <c r="K22" s="1"/>
      <c r="L22" s="1"/>
      <c r="M22" s="1"/>
      <c r="N22" s="1"/>
      <c r="O22" s="1"/>
      <c r="P22" s="3">
        <v>3.0</v>
      </c>
      <c r="Q22" s="4" t="s">
        <v>30</v>
      </c>
      <c r="R22" s="1"/>
      <c r="S22" s="1"/>
      <c r="T22" s="1"/>
      <c r="V22" s="1"/>
      <c r="W22" s="1"/>
      <c r="X22" s="3">
        <v>3.0</v>
      </c>
      <c r="Y22" s="4" t="s">
        <v>30</v>
      </c>
      <c r="Z22" s="1"/>
      <c r="AA22" s="1"/>
      <c r="AB22" s="1"/>
      <c r="AC22" s="1"/>
      <c r="AD22" s="1"/>
      <c r="AE22" s="1"/>
      <c r="AF22" s="3">
        <v>3.0</v>
      </c>
      <c r="AG22" s="4" t="s">
        <v>30</v>
      </c>
      <c r="AH22" s="1"/>
      <c r="AI22" s="1"/>
      <c r="AJ22" s="1"/>
      <c r="AN22" s="1"/>
    </row>
    <row r="23">
      <c r="A23" s="1"/>
      <c r="B23" s="5" t="s">
        <v>6</v>
      </c>
      <c r="C23" s="6">
        <v>2024.0</v>
      </c>
      <c r="D23" s="6">
        <v>2023.0</v>
      </c>
      <c r="E23" s="6">
        <v>2022.0</v>
      </c>
      <c r="G23" s="1"/>
      <c r="H23" s="1"/>
      <c r="I23" s="5" t="s">
        <v>6</v>
      </c>
      <c r="J23" s="6">
        <v>2024.0</v>
      </c>
      <c r="K23" s="6">
        <v>2023.0</v>
      </c>
      <c r="L23" s="6">
        <v>2022.0</v>
      </c>
      <c r="O23" s="1"/>
      <c r="P23" s="1"/>
      <c r="Q23" s="5" t="s">
        <v>6</v>
      </c>
      <c r="R23" s="6">
        <v>2024.0</v>
      </c>
      <c r="S23" s="6">
        <v>2023.0</v>
      </c>
      <c r="T23" s="6">
        <v>2022.0</v>
      </c>
      <c r="W23" s="1"/>
      <c r="X23" s="1"/>
      <c r="Y23" s="5" t="s">
        <v>6</v>
      </c>
      <c r="Z23" s="6">
        <v>2024.0</v>
      </c>
      <c r="AA23" s="6">
        <v>2023.0</v>
      </c>
      <c r="AB23" s="6">
        <v>2022.0</v>
      </c>
      <c r="AE23" s="1"/>
      <c r="AF23" s="1"/>
      <c r="AG23" s="5" t="s">
        <v>6</v>
      </c>
      <c r="AH23" s="6">
        <v>2024.0</v>
      </c>
      <c r="AI23" s="6">
        <v>2023.0</v>
      </c>
      <c r="AJ23" s="6">
        <v>2022.0</v>
      </c>
      <c r="AL23" s="1"/>
      <c r="AM23" s="1"/>
      <c r="AN23" s="1"/>
    </row>
    <row r="24">
      <c r="A24" s="16">
        <v>1.0</v>
      </c>
      <c r="B24" s="9" t="s">
        <v>7</v>
      </c>
      <c r="C24" s="11">
        <f>ROIC!D2</f>
        <v>0.5717836965</v>
      </c>
      <c r="D24" s="12">
        <f>ROIC!C2</f>
        <v>0.5626888294</v>
      </c>
      <c r="E24" s="12">
        <f>ROIC!B2</f>
        <v>0.5861678044</v>
      </c>
      <c r="G24" s="1"/>
      <c r="H24" s="16">
        <v>1.0</v>
      </c>
      <c r="I24" s="13" t="s">
        <v>8</v>
      </c>
      <c r="J24" s="14">
        <f>ROIC!D5</f>
        <v>0.1657027759</v>
      </c>
      <c r="K24" s="15">
        <f>ROIC!C5</f>
        <v>0.1236939686</v>
      </c>
      <c r="L24" s="15">
        <f>ROIC!B5</f>
        <v>-0.0132251528</v>
      </c>
      <c r="O24" s="1"/>
      <c r="P24" s="16">
        <v>1.0</v>
      </c>
      <c r="Q24" s="13" t="s">
        <v>9</v>
      </c>
      <c r="R24" s="11">
        <f>ROIC!D11</f>
        <v>0.2986660657</v>
      </c>
      <c r="S24" s="12">
        <f>ROIC!C11</f>
        <v>0.2508396697</v>
      </c>
      <c r="T24" s="12">
        <f>ROIC!B11</f>
        <v>0.2240592514</v>
      </c>
      <c r="W24" s="1"/>
      <c r="X24" s="16">
        <v>1.0</v>
      </c>
      <c r="Y24" s="13" t="s">
        <v>10</v>
      </c>
      <c r="Z24" s="20">
        <f>ROIC!D4</f>
        <v>0.1044278039</v>
      </c>
      <c r="AA24" s="15">
        <f>ROIC!C4</f>
        <v>0.1295148826</v>
      </c>
      <c r="AB24" s="19">
        <f>ROIC!B4</f>
        <v>0.1832143604</v>
      </c>
      <c r="AE24" s="1"/>
      <c r="AF24" s="16">
        <v>1.0</v>
      </c>
      <c r="AG24" s="13" t="s">
        <v>11</v>
      </c>
      <c r="AH24" s="11">
        <f>ROIC!D9</f>
        <v>0.2547873868</v>
      </c>
      <c r="AI24" s="12">
        <f>ROIC!C9</f>
        <v>0.2034083978</v>
      </c>
      <c r="AJ24" s="12">
        <f>ROIC!B9</f>
        <v>0.2218539416</v>
      </c>
      <c r="AL24" s="1"/>
      <c r="AM24" s="1"/>
      <c r="AN24" s="1"/>
    </row>
    <row r="25">
      <c r="A25" s="16">
        <v>2.0</v>
      </c>
      <c r="B25" s="9" t="s">
        <v>12</v>
      </c>
      <c r="C25" s="14">
        <f>ROIC!D16</f>
        <v>0.2828301492</v>
      </c>
      <c r="D25" s="18">
        <f>ROIC!C16</f>
        <v>0.291783716</v>
      </c>
      <c r="E25" s="18">
        <f>ROIC!B16</f>
        <v>0.3445332716</v>
      </c>
      <c r="G25" s="1"/>
      <c r="H25" s="16">
        <v>2.0</v>
      </c>
      <c r="I25" s="13" t="s">
        <v>13</v>
      </c>
      <c r="J25" s="20">
        <f>ROIC!D14</f>
        <v>0.2052144559</v>
      </c>
      <c r="K25" s="18">
        <f>ROIC!C14</f>
        <v>0.1471753263</v>
      </c>
      <c r="L25" s="18">
        <f>ROIC!B14</f>
        <v>0.08653551835</v>
      </c>
      <c r="O25" s="1"/>
      <c r="P25" s="16">
        <v>2.0</v>
      </c>
      <c r="Q25" s="13" t="s">
        <v>14</v>
      </c>
      <c r="R25" s="20">
        <f>ROIC!D15</f>
        <v>0.2978818352</v>
      </c>
      <c r="S25" s="19">
        <f>ROIC!C15</f>
        <v>0.230049413</v>
      </c>
      <c r="T25" s="19">
        <f>ROIC!B15</f>
        <v>0.1721440438</v>
      </c>
      <c r="W25" s="1"/>
      <c r="X25" s="16">
        <v>2.0</v>
      </c>
      <c r="Y25" s="13" t="s">
        <v>15</v>
      </c>
      <c r="Z25" s="11">
        <f>ROIC!D20</f>
        <v>0.1424327745</v>
      </c>
      <c r="AA25" s="19">
        <f>ROIC!C20</f>
        <v>0.1438806978</v>
      </c>
      <c r="AB25" s="18">
        <f>ROIC!B20</f>
        <v>0.1781848939</v>
      </c>
      <c r="AE25" s="1"/>
      <c r="AF25" s="16">
        <v>2.0</v>
      </c>
      <c r="AG25" s="13" t="s">
        <v>16</v>
      </c>
      <c r="AH25" s="20">
        <f>ROIC!D19</f>
        <v>0.1662714088</v>
      </c>
      <c r="AI25" s="19">
        <f>ROIC!C19</f>
        <v>0.1567169552</v>
      </c>
      <c r="AJ25" s="19">
        <f>ROIC!B19</f>
        <v>0.1737017864</v>
      </c>
      <c r="AL25" s="1"/>
      <c r="AM25" s="1"/>
      <c r="AN25" s="1"/>
    </row>
    <row r="26">
      <c r="A26" s="16">
        <v>3.0</v>
      </c>
      <c r="B26" s="9" t="s">
        <v>17</v>
      </c>
      <c r="C26" s="20">
        <f>ROIC!D6</f>
        <v>0.3235214179</v>
      </c>
      <c r="D26" s="19">
        <f>ROIC!C6</f>
        <v>0.4300079184</v>
      </c>
      <c r="E26" s="19">
        <f>ROIC!B6</f>
        <v>0.4236692894</v>
      </c>
      <c r="G26" s="1"/>
      <c r="H26" s="16">
        <v>3.0</v>
      </c>
      <c r="I26" s="13" t="s">
        <v>18</v>
      </c>
      <c r="J26" s="17">
        <f>ROIC!D22</f>
        <v>0.0919840285</v>
      </c>
      <c r="K26" s="19">
        <f>ROIC!C22</f>
        <v>0.2260068481</v>
      </c>
      <c r="L26" s="12">
        <f>ROIC!B22</f>
        <v>0.2729949295</v>
      </c>
      <c r="O26" s="1"/>
      <c r="P26" s="16">
        <v>3.0</v>
      </c>
      <c r="Q26" s="13" t="s">
        <v>19</v>
      </c>
      <c r="R26" s="14">
        <f>ROIC!D17</f>
        <v>0.2316083044</v>
      </c>
      <c r="S26" s="18">
        <f>ROIC!C17</f>
        <v>0.1725055271</v>
      </c>
      <c r="T26" s="18">
        <f>ROIC!B17</f>
        <v>0.1450183363</v>
      </c>
      <c r="W26" s="1"/>
      <c r="X26" s="16">
        <v>3.0</v>
      </c>
      <c r="Y26" s="13" t="s">
        <v>20</v>
      </c>
      <c r="Z26" s="14">
        <f>ROIC!D10</f>
        <v>0.02513490654</v>
      </c>
      <c r="AA26" s="18">
        <f>ROIC!C10</f>
        <v>0.1335084933</v>
      </c>
      <c r="AB26" s="15">
        <f>ROIC!B10</f>
        <v>0.1140584946</v>
      </c>
      <c r="AE26" s="1"/>
      <c r="AF26" s="16">
        <v>3.0</v>
      </c>
      <c r="AG26" s="13" t="s">
        <v>21</v>
      </c>
      <c r="AH26" s="14">
        <f>ROIC!D13</f>
        <v>0.1159510632</v>
      </c>
      <c r="AI26" s="18">
        <f>ROIC!C13</f>
        <v>0.09948121058</v>
      </c>
      <c r="AJ26" s="26">
        <f>ROIC!B13</f>
        <v>0.05372389974</v>
      </c>
      <c r="AL26" s="1"/>
      <c r="AM26" s="1"/>
      <c r="AN26" s="1"/>
    </row>
    <row r="27">
      <c r="A27" s="16">
        <v>4.0</v>
      </c>
      <c r="B27" s="9" t="s">
        <v>22</v>
      </c>
      <c r="C27" s="17">
        <f>ROIC!D3</f>
        <v>0.02837587198</v>
      </c>
      <c r="D27" s="15">
        <f>ROIC!C3</f>
        <v>0.01745278813</v>
      </c>
      <c r="E27" s="15">
        <f>ROIC!B3</f>
        <v>0.02452186531</v>
      </c>
      <c r="G27" s="1"/>
      <c r="H27" s="16">
        <v>4.0</v>
      </c>
      <c r="I27" s="13" t="s">
        <v>23</v>
      </c>
      <c r="J27" s="11">
        <f>ROIC!D18</f>
        <v>0.3528225691</v>
      </c>
      <c r="K27" s="12">
        <f>ROIC!C18</f>
        <v>0.3110369604</v>
      </c>
      <c r="L27" s="19">
        <f>ROIC!B18</f>
        <v>0.2382175453</v>
      </c>
      <c r="O27" s="1"/>
      <c r="P27" s="16">
        <v>4.0</v>
      </c>
      <c r="Q27" s="13" t="s">
        <v>24</v>
      </c>
      <c r="R27" s="17">
        <f>ROIC!D21</f>
        <v>0.09976690087</v>
      </c>
      <c r="S27" s="23">
        <f>ROIC!C21</f>
        <v>0.077567879</v>
      </c>
      <c r="T27" s="23">
        <f>ROIC!B21</f>
        <v>0.03784510469</v>
      </c>
      <c r="W27" s="1"/>
      <c r="X27" s="16">
        <v>4.0</v>
      </c>
      <c r="Y27" s="13" t="s">
        <v>25</v>
      </c>
      <c r="Z27" s="24">
        <f>ROIC!D23</f>
        <v>-0.03665861197</v>
      </c>
      <c r="AA27" s="12">
        <f>ROIC!C23</f>
        <v>0.2079614561</v>
      </c>
      <c r="AB27" s="12">
        <f>ROIC!B23</f>
        <v>0.2418662359</v>
      </c>
      <c r="AE27" s="1"/>
      <c r="AF27" s="16">
        <v>4.0</v>
      </c>
      <c r="AG27" s="13" t="s">
        <v>26</v>
      </c>
      <c r="AH27" s="25">
        <f>ROIC!D12</f>
        <v>0.05011337711</v>
      </c>
      <c r="AI27" s="26">
        <f>ROIC!C12</f>
        <v>0.06620974914</v>
      </c>
      <c r="AJ27" s="15">
        <f>ROIC!B12</f>
        <v>0.0542826909</v>
      </c>
      <c r="AL27" s="1"/>
      <c r="AM27" s="1"/>
      <c r="AN27" s="1"/>
    </row>
    <row r="28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6">
        <v>5.0</v>
      </c>
      <c r="Q28" s="13" t="s">
        <v>27</v>
      </c>
      <c r="R28" s="23">
        <f>ROIC!D8</f>
        <v>0.08920182937</v>
      </c>
      <c r="S28" s="15">
        <f>ROIC!C8</f>
        <v>0.08457662412</v>
      </c>
      <c r="T28" s="15">
        <f>ROIC!B8</f>
        <v>0.08826827124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6">
        <v>5.0</v>
      </c>
      <c r="AG28" s="13" t="s">
        <v>28</v>
      </c>
      <c r="AH28" s="15">
        <f>ROIC!D7</f>
        <v>0.08499895354</v>
      </c>
      <c r="AI28" s="15">
        <f>ROIC!C7</f>
        <v>0.09591711614</v>
      </c>
      <c r="AJ28" s="18">
        <f>ROIC!B7</f>
        <v>0.08817368147</v>
      </c>
      <c r="AL28" s="1"/>
      <c r="AM28" s="1"/>
      <c r="AN28" s="1"/>
    </row>
    <row r="29">
      <c r="A29" s="1"/>
      <c r="B29" s="1"/>
      <c r="C29" s="1"/>
      <c r="D29" s="1"/>
      <c r="E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3">
        <v>4.0</v>
      </c>
      <c r="B30" s="4" t="s">
        <v>31</v>
      </c>
      <c r="C30" s="1"/>
      <c r="D30" s="1"/>
      <c r="E30" s="1"/>
      <c r="G30" s="1"/>
      <c r="H30" s="3">
        <v>4.0</v>
      </c>
      <c r="I30" s="4" t="s">
        <v>31</v>
      </c>
      <c r="J30" s="1"/>
      <c r="K30" s="1"/>
      <c r="L30" s="1"/>
      <c r="M30" s="1"/>
      <c r="N30" s="1"/>
      <c r="O30" s="1"/>
      <c r="P30" s="3">
        <v>4.0</v>
      </c>
      <c r="Q30" s="4" t="s">
        <v>31</v>
      </c>
      <c r="R30" s="1"/>
      <c r="S30" s="1"/>
      <c r="T30" s="1"/>
      <c r="U30" s="1"/>
      <c r="V30" s="1"/>
      <c r="W30" s="1"/>
      <c r="X30" s="3">
        <v>4.0</v>
      </c>
      <c r="Y30" s="4" t="s">
        <v>31</v>
      </c>
      <c r="Z30" s="1"/>
      <c r="AA30" s="1"/>
      <c r="AB30" s="1"/>
      <c r="AC30" s="1"/>
      <c r="AD30" s="1"/>
      <c r="AE30" s="1"/>
      <c r="AF30" s="3">
        <v>4.0</v>
      </c>
      <c r="AG30" s="4" t="s">
        <v>31</v>
      </c>
      <c r="AH30" s="1"/>
      <c r="AI30" s="1"/>
      <c r="AJ30" s="1"/>
      <c r="AK30" s="1"/>
      <c r="AL30" s="1"/>
      <c r="AM30" s="1"/>
      <c r="AN30" s="1"/>
    </row>
    <row r="31">
      <c r="A31" s="1"/>
      <c r="B31" s="5" t="s">
        <v>6</v>
      </c>
      <c r="C31" s="6">
        <v>2024.0</v>
      </c>
      <c r="D31" s="6">
        <v>2023.0</v>
      </c>
      <c r="E31" s="6">
        <v>2022.0</v>
      </c>
      <c r="G31" s="1"/>
      <c r="H31" s="1"/>
      <c r="I31" s="5" t="s">
        <v>6</v>
      </c>
      <c r="J31" s="6">
        <v>2024.0</v>
      </c>
      <c r="K31" s="6">
        <v>2023.0</v>
      </c>
      <c r="L31" s="6">
        <v>2022.0</v>
      </c>
      <c r="O31" s="1"/>
      <c r="P31" s="1"/>
      <c r="Q31" s="5" t="s">
        <v>6</v>
      </c>
      <c r="R31" s="6">
        <v>2024.0</v>
      </c>
      <c r="S31" s="6">
        <v>2023.0</v>
      </c>
      <c r="T31" s="6">
        <v>2022.0</v>
      </c>
      <c r="V31" s="1"/>
      <c r="W31" s="1"/>
      <c r="X31" s="1"/>
      <c r="Y31" s="5" t="s">
        <v>6</v>
      </c>
      <c r="Z31" s="6">
        <v>2024.0</v>
      </c>
      <c r="AA31" s="6">
        <v>2023.0</v>
      </c>
      <c r="AB31" s="6">
        <v>2022.0</v>
      </c>
      <c r="AD31" s="37"/>
      <c r="AE31" s="1"/>
      <c r="AF31" s="1"/>
      <c r="AG31" s="5" t="s">
        <v>6</v>
      </c>
      <c r="AH31" s="6">
        <v>2024.0</v>
      </c>
      <c r="AI31" s="6">
        <v>2023.0</v>
      </c>
      <c r="AJ31" s="6">
        <v>2022.0</v>
      </c>
      <c r="AL31" s="1"/>
      <c r="AM31" s="1"/>
      <c r="AN31" s="1"/>
    </row>
    <row r="32">
      <c r="A32" s="16">
        <v>1.0</v>
      </c>
      <c r="B32" s="9" t="s">
        <v>7</v>
      </c>
      <c r="C32" s="14">
        <f>'Net Profit Margin'!D2</f>
        <v>0.2397125577</v>
      </c>
      <c r="D32" s="18">
        <f>'Net Profit Margin'!C2</f>
        <v>0.2530623426</v>
      </c>
      <c r="E32" s="18">
        <f>'Net Profit Margin'!B2</f>
        <v>0.2530964071</v>
      </c>
      <c r="G32" s="1"/>
      <c r="H32" s="16">
        <v>1.0</v>
      </c>
      <c r="I32" s="13" t="s">
        <v>8</v>
      </c>
      <c r="J32" s="20">
        <f>'Net Profit Margin'!D5</f>
        <v>0.09287117197</v>
      </c>
      <c r="K32" s="15">
        <f>'Net Profit Margin'!C5</f>
        <v>0.05293283576</v>
      </c>
      <c r="L32" s="15">
        <f>'Net Profit Margin'!B5</f>
        <v>-0.005295895</v>
      </c>
      <c r="O32" s="1"/>
      <c r="P32" s="16">
        <v>1.0</v>
      </c>
      <c r="Q32" s="13" t="s">
        <v>9</v>
      </c>
      <c r="R32" s="20">
        <f>'Net Profit Margin'!D11</f>
        <v>0.2860367181</v>
      </c>
      <c r="S32" s="19">
        <f>'Net Profit Margin'!C11</f>
        <v>0.2400664945</v>
      </c>
      <c r="T32" s="12">
        <f>'Net Profit Margin'!B11</f>
        <v>0.2120380715</v>
      </c>
      <c r="V32" s="1"/>
      <c r="W32" s="1"/>
      <c r="X32" s="16">
        <v>1.0</v>
      </c>
      <c r="Y32" s="13" t="s">
        <v>10</v>
      </c>
      <c r="Z32" s="20">
        <f>'Net Profit Margin'!D4</f>
        <v>0.1223671613</v>
      </c>
      <c r="AA32" s="18">
        <f>'Net Profit Margin'!C4</f>
        <v>0.2382759844</v>
      </c>
      <c r="AB32" s="18">
        <f>'Net Profit Margin'!B4</f>
        <v>0.2489077993</v>
      </c>
      <c r="AD32" s="37"/>
      <c r="AE32" s="1"/>
      <c r="AF32" s="16">
        <v>1.0</v>
      </c>
      <c r="AG32" s="13" t="s">
        <v>11</v>
      </c>
      <c r="AH32" s="25">
        <f>'Net Profit Margin'!D9</f>
        <v>0.0289523016</v>
      </c>
      <c r="AI32" s="26">
        <f>'Net Profit Margin'!C9</f>
        <v>0.02596888027</v>
      </c>
      <c r="AJ32" s="26">
        <f>'Net Profit Margin'!B9</f>
        <v>0.0257497114</v>
      </c>
      <c r="AL32" s="1"/>
      <c r="AM32" s="1"/>
      <c r="AN32" s="1"/>
    </row>
    <row r="33">
      <c r="A33" s="16">
        <v>2.0</v>
      </c>
      <c r="B33" s="9" t="s">
        <v>12</v>
      </c>
      <c r="C33" s="11">
        <f>'Net Profit Margin'!D16</f>
        <v>0.3595597294</v>
      </c>
      <c r="D33" s="12">
        <f>'Net Profit Margin'!C16</f>
        <v>0.3414623788</v>
      </c>
      <c r="E33" s="12">
        <f>'Net Profit Margin'!B16</f>
        <v>0.3668633681</v>
      </c>
      <c r="G33" s="1"/>
      <c r="H33" s="16">
        <v>2.0</v>
      </c>
      <c r="I33" s="13" t="s">
        <v>13</v>
      </c>
      <c r="J33" s="14">
        <f>'Net Profit Margin'!D14</f>
        <v>0.09197670501</v>
      </c>
      <c r="K33" s="18">
        <f>'Net Profit Margin'!C14</f>
        <v>0.06533395115</v>
      </c>
      <c r="L33" s="18">
        <f>'Net Profit Margin'!B14</f>
        <v>0.04471243043</v>
      </c>
      <c r="O33" s="1"/>
      <c r="P33" s="16">
        <v>2.0</v>
      </c>
      <c r="Q33" s="13" t="s">
        <v>14</v>
      </c>
      <c r="R33" s="11">
        <f>'Net Profit Margin'!D15</f>
        <v>0.3790858414</v>
      </c>
      <c r="S33" s="12">
        <f>'Net Profit Margin'!C15</f>
        <v>0.2898252064</v>
      </c>
      <c r="T33" s="19">
        <f>'Net Profit Margin'!B15</f>
        <v>0.1989554837</v>
      </c>
      <c r="V33" s="1"/>
      <c r="W33" s="1"/>
      <c r="X33" s="16">
        <v>2.0</v>
      </c>
      <c r="Y33" s="13" t="s">
        <v>15</v>
      </c>
      <c r="Z33" s="11">
        <f>'Net Profit Margin'!D20</f>
        <v>0.3107027179</v>
      </c>
      <c r="AA33" s="19">
        <f>'Net Profit Margin'!C20</f>
        <v>0.3014057878</v>
      </c>
      <c r="AB33" s="19">
        <f>'Net Profit Margin'!B20</f>
        <v>0.3563982289</v>
      </c>
      <c r="AD33" s="37"/>
      <c r="AE33" s="1"/>
      <c r="AF33" s="16">
        <v>2.0</v>
      </c>
      <c r="AG33" s="13" t="s">
        <v>16</v>
      </c>
      <c r="AH33" s="20">
        <f>'Net Profit Margin'!D19</f>
        <v>0.1042741742</v>
      </c>
      <c r="AI33" s="18">
        <f>'Net Profit Margin'!C19</f>
        <v>0.09920083961</v>
      </c>
      <c r="AJ33" s="12">
        <f>'Net Profit Margin'!B19</f>
        <v>0.1031345495</v>
      </c>
      <c r="AL33" s="1"/>
      <c r="AM33" s="1"/>
      <c r="AN33" s="1"/>
    </row>
    <row r="34">
      <c r="A34" s="16">
        <v>3.0</v>
      </c>
      <c r="B34" s="9" t="s">
        <v>17</v>
      </c>
      <c r="C34" s="20">
        <f>'Net Profit Margin'!D6</f>
        <v>0.2678989063</v>
      </c>
      <c r="D34" s="19">
        <f>'Net Profit Margin'!C6</f>
        <v>0.2844494439</v>
      </c>
      <c r="E34" s="19">
        <f>'Net Profit Margin'!B6</f>
        <v>0.265625738</v>
      </c>
      <c r="G34" s="1"/>
      <c r="H34" s="16">
        <v>3.0</v>
      </c>
      <c r="I34" s="13" t="s">
        <v>18</v>
      </c>
      <c r="J34" s="17">
        <f>'Net Profit Margin'!D22</f>
        <v>0.07298597605</v>
      </c>
      <c r="K34" s="19">
        <f>'Net Profit Margin'!C22</f>
        <v>0.1549915782</v>
      </c>
      <c r="L34" s="19">
        <f>'Net Profit Margin'!B22</f>
        <v>0.1544646584</v>
      </c>
      <c r="O34" s="1"/>
      <c r="P34" s="16">
        <v>3.0</v>
      </c>
      <c r="Q34" s="13" t="s">
        <v>19</v>
      </c>
      <c r="R34" s="14">
        <f>'Net Profit Margin'!D17</f>
        <v>0.2233696212</v>
      </c>
      <c r="S34" s="18">
        <f>'Net Profit Margin'!C17</f>
        <v>0.1603636204</v>
      </c>
      <c r="T34" s="18">
        <f>'Net Profit Margin'!B17</f>
        <v>0.1420795779</v>
      </c>
      <c r="V34" s="1"/>
      <c r="W34" s="1"/>
      <c r="X34" s="16">
        <v>3.0</v>
      </c>
      <c r="Y34" s="13" t="s">
        <v>20</v>
      </c>
      <c r="Z34" s="14">
        <f>'Net Profit Margin'!D10</f>
        <v>0.01669332962</v>
      </c>
      <c r="AA34" s="15">
        <f>'Net Profit Margin'!C10</f>
        <v>0.2089172444</v>
      </c>
      <c r="AB34" s="15">
        <f>'Net Profit Margin'!B10</f>
        <v>0.1683222756</v>
      </c>
      <c r="AD34" s="37"/>
      <c r="AE34" s="1"/>
      <c r="AF34" s="16">
        <v>3.0</v>
      </c>
      <c r="AG34" s="13" t="s">
        <v>21</v>
      </c>
      <c r="AH34" s="11">
        <f>'Net Profit Margin'!D13</f>
        <v>0.1265333004</v>
      </c>
      <c r="AI34" s="19">
        <f>'Net Profit Margin'!C13</f>
        <v>0.137688805</v>
      </c>
      <c r="AJ34" s="15">
        <f>'Net Profit Margin'!B13</f>
        <v>0.08626492253</v>
      </c>
      <c r="AL34" s="1"/>
      <c r="AM34" s="1"/>
      <c r="AN34" s="1"/>
    </row>
    <row r="35">
      <c r="A35" s="16">
        <v>4.0</v>
      </c>
      <c r="B35" s="9" t="s">
        <v>22</v>
      </c>
      <c r="C35" s="17">
        <f>'Net Profit Margin'!D3</f>
        <v>0.06364165212</v>
      </c>
      <c r="D35" s="15">
        <f>'Net Profit Margin'!C3</f>
        <v>0.03765432099</v>
      </c>
      <c r="E35" s="15">
        <f>'Net Profit Margin'!B3</f>
        <v>0.05592983348</v>
      </c>
      <c r="G35" s="1"/>
      <c r="H35" s="16">
        <v>4.0</v>
      </c>
      <c r="I35" s="13" t="s">
        <v>23</v>
      </c>
      <c r="J35" s="11">
        <f>'Net Profit Margin'!D18</f>
        <v>0.285485543</v>
      </c>
      <c r="K35" s="12">
        <f>'Net Profit Margin'!C18</f>
        <v>0.2423951571</v>
      </c>
      <c r="L35" s="12">
        <f>'Net Profit Margin'!B18</f>
        <v>0.241564372</v>
      </c>
      <c r="O35" s="1"/>
      <c r="P35" s="16">
        <v>4.0</v>
      </c>
      <c r="Q35" s="13" t="s">
        <v>24</v>
      </c>
      <c r="R35" s="17">
        <f>'Net Profit Margin'!D21</f>
        <v>0.1392997543</v>
      </c>
      <c r="S35" s="15">
        <f>'Net Profit Margin'!C21</f>
        <v>0.1058708216</v>
      </c>
      <c r="T35" s="23">
        <f>'Net Profit Margin'!B21</f>
        <v>0.03254954695</v>
      </c>
      <c r="V35" s="1"/>
      <c r="W35" s="1"/>
      <c r="X35" s="16">
        <v>4.0</v>
      </c>
      <c r="Y35" s="13" t="s">
        <v>25</v>
      </c>
      <c r="Z35" s="24">
        <f>'Net Profit Margin'!D23</f>
        <v>-0.0486020998</v>
      </c>
      <c r="AA35" s="12">
        <f>'Net Profit Margin'!C23</f>
        <v>0.366757184</v>
      </c>
      <c r="AB35" s="12">
        <f>'Net Profit Margin'!B23</f>
        <v>0.3719753211</v>
      </c>
      <c r="AD35" s="37"/>
      <c r="AE35" s="1"/>
      <c r="AF35" s="16">
        <v>4.0</v>
      </c>
      <c r="AG35" s="13" t="s">
        <v>26</v>
      </c>
      <c r="AH35" s="14">
        <f>'Net Profit Margin'!D12</f>
        <v>0.09387010618</v>
      </c>
      <c r="AI35" s="12">
        <f>'Net Profit Margin'!C12</f>
        <v>0.1472255974</v>
      </c>
      <c r="AJ35" s="19">
        <f>'Net Profit Margin'!B12</f>
        <v>0.1021555097</v>
      </c>
      <c r="AL35" s="1"/>
      <c r="AM35" s="1"/>
      <c r="AN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6">
        <v>5.0</v>
      </c>
      <c r="Q36" s="13" t="s">
        <v>27</v>
      </c>
      <c r="R36" s="23">
        <f>'Net Profit Margin'!D8</f>
        <v>0.09227557411</v>
      </c>
      <c r="S36" s="23">
        <f>'Net Profit Margin'!C8</f>
        <v>0.08345083964</v>
      </c>
      <c r="T36" s="15">
        <f>'Net Profit Margin'!B8</f>
        <v>0.09357298878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6">
        <v>5.0</v>
      </c>
      <c r="AG36" s="13" t="s">
        <v>28</v>
      </c>
      <c r="AH36" s="15">
        <f>'Net Profit Margin'!D7</f>
        <v>0.06938056561</v>
      </c>
      <c r="AI36" s="15">
        <f>'Net Profit Margin'!C7</f>
        <v>0.09119221943</v>
      </c>
      <c r="AJ36" s="18">
        <f>'Net Profit Margin'!B7</f>
        <v>0.0870669746</v>
      </c>
      <c r="AL36" s="1"/>
      <c r="AM36" s="1"/>
      <c r="AN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38" t="s">
        <v>32</v>
      </c>
      <c r="D38" s="1"/>
      <c r="E38" s="1"/>
      <c r="F38" s="1"/>
      <c r="G38" s="1"/>
      <c r="H38" s="38" t="s">
        <v>32</v>
      </c>
      <c r="K38" s="1"/>
      <c r="L38" s="1"/>
      <c r="M38" s="1"/>
      <c r="N38" s="1"/>
      <c r="O38" s="1"/>
      <c r="P38" s="38" t="s">
        <v>32</v>
      </c>
      <c r="S38" s="1"/>
      <c r="T38" s="1"/>
      <c r="U38" s="1"/>
      <c r="V38" s="1"/>
      <c r="W38" s="1"/>
      <c r="X38" s="38" t="s">
        <v>32</v>
      </c>
      <c r="AA38" s="1"/>
      <c r="AB38" s="1"/>
      <c r="AC38" s="1"/>
      <c r="AD38" s="1"/>
      <c r="AE38" s="1"/>
      <c r="AF38" s="38" t="s">
        <v>32</v>
      </c>
      <c r="AI38" s="1"/>
      <c r="AJ38" s="1"/>
      <c r="AK38" s="1"/>
      <c r="AL38" s="1"/>
      <c r="AM38" s="1"/>
      <c r="AN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39" t="s">
        <v>33</v>
      </c>
      <c r="D40" s="1"/>
      <c r="E40" s="1"/>
      <c r="F40" s="1"/>
      <c r="G40" s="1"/>
      <c r="H40" s="40" t="s">
        <v>33</v>
      </c>
      <c r="L40" s="39"/>
      <c r="M40" s="1"/>
      <c r="N40" s="1"/>
      <c r="O40" s="1"/>
      <c r="P40" s="41" t="s">
        <v>34</v>
      </c>
      <c r="U40" s="1"/>
      <c r="V40" s="1"/>
      <c r="W40" s="1"/>
      <c r="X40" s="41" t="s">
        <v>35</v>
      </c>
      <c r="AC40" s="1"/>
      <c r="AD40" s="1"/>
      <c r="AE40" s="1"/>
      <c r="AF40" s="42" t="s">
        <v>36</v>
      </c>
      <c r="AK40" s="1"/>
      <c r="AL40" s="1"/>
      <c r="AM40" s="1"/>
      <c r="AN40" s="1"/>
    </row>
    <row r="41">
      <c r="A41" s="27" t="s">
        <v>7</v>
      </c>
      <c r="B41" s="1"/>
      <c r="C41" s="1"/>
      <c r="D41" s="1"/>
      <c r="E41" s="1"/>
      <c r="F41" s="1"/>
      <c r="G41" s="1"/>
      <c r="H41" s="27" t="s">
        <v>23</v>
      </c>
      <c r="I41" s="1"/>
      <c r="J41" s="1"/>
      <c r="K41" s="1"/>
      <c r="L41" s="1"/>
      <c r="M41" s="1"/>
      <c r="N41" s="1"/>
      <c r="O41" s="1"/>
      <c r="P41" s="43" t="s">
        <v>9</v>
      </c>
      <c r="Q41" s="1"/>
      <c r="R41" s="1"/>
      <c r="S41" s="1"/>
      <c r="T41" s="1"/>
      <c r="U41" s="1"/>
      <c r="V41" s="1"/>
      <c r="W41" s="1"/>
      <c r="X41" s="27" t="s">
        <v>10</v>
      </c>
      <c r="Y41" s="1"/>
      <c r="Z41" s="1"/>
      <c r="AA41" s="1"/>
      <c r="AB41" s="1"/>
      <c r="AC41" s="1"/>
      <c r="AD41" s="1"/>
      <c r="AE41" s="1"/>
      <c r="AF41" s="27" t="s">
        <v>11</v>
      </c>
      <c r="AG41" s="1"/>
      <c r="AH41" s="1"/>
      <c r="AI41" s="1"/>
      <c r="AJ41" s="1"/>
      <c r="AK41" s="1"/>
      <c r="AL41" s="1"/>
      <c r="AM41" s="1"/>
      <c r="AN41" s="1"/>
    </row>
    <row r="42">
      <c r="A42" s="44" t="s">
        <v>17</v>
      </c>
      <c r="H42" s="44" t="s">
        <v>13</v>
      </c>
      <c r="P42" s="45" t="s">
        <v>14</v>
      </c>
      <c r="X42" s="44" t="s">
        <v>15</v>
      </c>
      <c r="AF42" s="44" t="s">
        <v>16</v>
      </c>
    </row>
  </sheetData>
  <mergeCells count="15">
    <mergeCell ref="P38:R38"/>
    <mergeCell ref="X38:Z38"/>
    <mergeCell ref="A40:C40"/>
    <mergeCell ref="H40:K40"/>
    <mergeCell ref="P40:S40"/>
    <mergeCell ref="X40:AB40"/>
    <mergeCell ref="AF40:AJ40"/>
    <mergeCell ref="A3:E3"/>
    <mergeCell ref="H3:O3"/>
    <mergeCell ref="P3:V3"/>
    <mergeCell ref="X3:AE3"/>
    <mergeCell ref="AF3:AK3"/>
    <mergeCell ref="A38:C38"/>
    <mergeCell ref="H38:J38"/>
    <mergeCell ref="AF38:AH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5" max="15" width="47.43"/>
    <col customWidth="1" min="16" max="16" width="58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0</v>
      </c>
      <c r="F2" s="1"/>
      <c r="G2" s="1"/>
      <c r="H2" s="2" t="s">
        <v>1</v>
      </c>
      <c r="O2" s="1"/>
      <c r="P2" s="2" t="s">
        <v>2</v>
      </c>
      <c r="W2" s="1"/>
      <c r="X2" s="2" t="s">
        <v>3</v>
      </c>
      <c r="AF2" s="2" t="s">
        <v>4</v>
      </c>
      <c r="AL2" s="1"/>
      <c r="AM2" s="1"/>
      <c r="A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3">
        <v>1.0</v>
      </c>
      <c r="B5" s="4" t="s">
        <v>37</v>
      </c>
      <c r="F5" s="1"/>
      <c r="G5" s="1"/>
      <c r="H5" s="3">
        <v>1.0</v>
      </c>
      <c r="I5" s="4" t="s">
        <v>37</v>
      </c>
      <c r="J5" s="1"/>
      <c r="K5" s="1"/>
      <c r="L5" s="1"/>
      <c r="M5" s="1"/>
      <c r="N5" s="1"/>
      <c r="O5" s="1"/>
      <c r="P5" s="3">
        <v>1.0</v>
      </c>
      <c r="Q5" s="4" t="s">
        <v>37</v>
      </c>
      <c r="R5" s="1"/>
      <c r="S5" s="1"/>
      <c r="T5" s="1"/>
      <c r="U5" s="1"/>
      <c r="V5" s="1"/>
      <c r="W5" s="1"/>
      <c r="X5" s="3">
        <v>1.0</v>
      </c>
      <c r="Y5" s="4" t="s">
        <v>37</v>
      </c>
      <c r="Z5" s="1"/>
      <c r="AA5" s="1"/>
      <c r="AB5" s="1"/>
      <c r="AC5" s="1"/>
      <c r="AD5" s="1"/>
      <c r="AE5" s="1"/>
      <c r="AF5" s="3">
        <v>1.0</v>
      </c>
      <c r="AG5" s="4" t="s">
        <v>37</v>
      </c>
      <c r="AH5" s="1"/>
      <c r="AI5" s="1"/>
      <c r="AJ5" s="1"/>
      <c r="AK5" s="1"/>
      <c r="AL5" s="1"/>
      <c r="AM5" s="1"/>
      <c r="AN5" s="1"/>
    </row>
    <row r="6">
      <c r="A6" s="1"/>
      <c r="B6" s="5" t="s">
        <v>6</v>
      </c>
      <c r="C6" s="6">
        <v>2024.0</v>
      </c>
      <c r="D6" s="6">
        <v>2023.0</v>
      </c>
      <c r="E6" s="6">
        <v>2022.0</v>
      </c>
      <c r="G6" s="1"/>
      <c r="H6" s="1"/>
      <c r="I6" s="5" t="s">
        <v>6</v>
      </c>
      <c r="J6" s="7">
        <v>2024.0</v>
      </c>
      <c r="K6" s="7">
        <v>2023.0</v>
      </c>
      <c r="L6" s="7">
        <v>2022.0</v>
      </c>
      <c r="O6" s="1"/>
      <c r="P6" s="8"/>
      <c r="Q6" s="9" t="s">
        <v>6</v>
      </c>
      <c r="R6" s="6">
        <v>2024.0</v>
      </c>
      <c r="S6" s="6">
        <v>2023.0</v>
      </c>
      <c r="T6" s="6">
        <v>2022.0</v>
      </c>
      <c r="W6" s="1"/>
      <c r="X6" s="1"/>
      <c r="Y6" s="5" t="s">
        <v>6</v>
      </c>
      <c r="Z6" s="6">
        <v>2024.0</v>
      </c>
      <c r="AA6" s="6">
        <v>2023.0</v>
      </c>
      <c r="AB6" s="6">
        <v>2022.0</v>
      </c>
      <c r="AE6" s="1"/>
      <c r="AF6" s="1"/>
      <c r="AG6" s="5" t="s">
        <v>6</v>
      </c>
      <c r="AH6" s="7">
        <v>2024.0</v>
      </c>
      <c r="AI6" s="7">
        <v>2023.0</v>
      </c>
      <c r="AJ6" s="7">
        <v>2022.0</v>
      </c>
      <c r="AM6" s="1"/>
      <c r="AN6" s="1"/>
    </row>
    <row r="7">
      <c r="A7" s="10">
        <v>1.0</v>
      </c>
      <c r="B7" s="9" t="s">
        <v>7</v>
      </c>
      <c r="C7" s="46">
        <f>'P E'!D2</f>
        <v>40.92602228</v>
      </c>
      <c r="D7" s="47">
        <f>'P E'!C2</f>
        <v>31.05629552</v>
      </c>
      <c r="E7" s="47">
        <f>'P E'!B2</f>
        <v>20.91024745</v>
      </c>
      <c r="G7" s="1"/>
      <c r="H7" s="10">
        <v>1.0</v>
      </c>
      <c r="I7" s="13" t="s">
        <v>8</v>
      </c>
      <c r="J7" s="48">
        <f>'P E'!D5</f>
        <v>39.67269428</v>
      </c>
      <c r="K7" s="48">
        <f>'P E'!C5</f>
        <v>52.39310429</v>
      </c>
      <c r="L7" s="49">
        <f>'P E'!B5</f>
        <v>-311.1111111</v>
      </c>
      <c r="O7" s="1"/>
      <c r="P7" s="16">
        <v>1.0</v>
      </c>
      <c r="Q7" s="13" t="s">
        <v>9</v>
      </c>
      <c r="R7" s="50">
        <f>'P E'!D11</f>
        <v>23.43642581</v>
      </c>
      <c r="S7" s="51">
        <f>'P E'!C11</f>
        <v>23.88705813</v>
      </c>
      <c r="T7" s="50">
        <f>'P E'!B11</f>
        <v>19.19007887</v>
      </c>
      <c r="W7" s="1"/>
      <c r="X7" s="10">
        <v>1.0</v>
      </c>
      <c r="Y7" s="13" t="s">
        <v>10</v>
      </c>
      <c r="Z7" s="48">
        <f>'P E'!D4</f>
        <v>32.91106249</v>
      </c>
      <c r="AA7" s="48">
        <f>'P E'!C4</f>
        <v>21.3675457</v>
      </c>
      <c r="AB7" s="48">
        <f>'P E'!B4</f>
        <v>19.42287732</v>
      </c>
      <c r="AE7" s="1"/>
      <c r="AF7" s="16">
        <v>1.0</v>
      </c>
      <c r="AG7" s="13" t="s">
        <v>11</v>
      </c>
      <c r="AH7" s="52">
        <f>'P E'!D9</f>
        <v>54.8883521</v>
      </c>
      <c r="AI7" s="52">
        <f>'P E'!C9</f>
        <v>45.9749599</v>
      </c>
      <c r="AJ7" s="52">
        <f>'P E'!B9</f>
        <v>33.2500092</v>
      </c>
      <c r="AM7" s="1"/>
      <c r="AN7" s="1"/>
    </row>
    <row r="8">
      <c r="A8" s="16">
        <v>2.0</v>
      </c>
      <c r="B8" s="9" t="s">
        <v>12</v>
      </c>
      <c r="C8" s="53">
        <f>'P E'!D16</f>
        <v>35.30155764</v>
      </c>
      <c r="D8" s="54">
        <f>'P E'!C16</f>
        <v>38.10671657</v>
      </c>
      <c r="E8" s="55">
        <f>'P E'!B16</f>
        <v>24.163899</v>
      </c>
      <c r="G8" s="1"/>
      <c r="H8" s="21">
        <v>2.0</v>
      </c>
      <c r="I8" s="13" t="s">
        <v>13</v>
      </c>
      <c r="J8" s="50">
        <f>'P E'!D14</f>
        <v>45.11647496</v>
      </c>
      <c r="K8" s="51">
        <f>'P E'!C14</f>
        <v>80.75745319</v>
      </c>
      <c r="L8" s="50">
        <f>'P E'!B14</f>
        <v>88.79748061</v>
      </c>
      <c r="O8" s="1"/>
      <c r="P8" s="16">
        <v>2.0</v>
      </c>
      <c r="Q8" s="13" t="s">
        <v>14</v>
      </c>
      <c r="R8" s="51">
        <f>'P E'!D15</f>
        <v>24.44133135</v>
      </c>
      <c r="S8" s="50">
        <f>'P E'!C15</f>
        <v>23.61828638</v>
      </c>
      <c r="T8" s="48">
        <f>'P E'!B15</f>
        <v>13.90023193</v>
      </c>
      <c r="W8" s="1"/>
      <c r="X8" s="21">
        <v>2.0</v>
      </c>
      <c r="Y8" s="13" t="s">
        <v>15</v>
      </c>
      <c r="Z8" s="56">
        <f>'P E'!D20</f>
        <v>18.42709473</v>
      </c>
      <c r="AA8" s="50">
        <f>'P E'!C20</f>
        <v>25.05307092</v>
      </c>
      <c r="AB8" s="56">
        <f>'P E'!B20</f>
        <v>18.72265235</v>
      </c>
      <c r="AE8" s="1"/>
      <c r="AF8" s="16">
        <v>2.0</v>
      </c>
      <c r="AG8" s="13" t="s">
        <v>16</v>
      </c>
      <c r="AH8" s="55">
        <f>'P E'!D19</f>
        <v>20.85211665</v>
      </c>
      <c r="AI8" s="57">
        <f>'P E'!C19</f>
        <v>23.90928966</v>
      </c>
      <c r="AJ8" s="55">
        <f>'P E'!B19</f>
        <v>25.2618855</v>
      </c>
      <c r="AM8" s="1"/>
      <c r="AN8" s="1"/>
    </row>
    <row r="9">
      <c r="A9" s="16">
        <v>3.0</v>
      </c>
      <c r="B9" s="9" t="s">
        <v>17</v>
      </c>
      <c r="C9" s="58">
        <f>'P E'!D6</f>
        <v>35.55723575</v>
      </c>
      <c r="D9" s="48">
        <f>'P E'!C6</f>
        <v>35.99737908</v>
      </c>
      <c r="E9" s="50">
        <f>'P E'!B6</f>
        <v>32.96732116</v>
      </c>
      <c r="G9" s="1"/>
      <c r="H9" s="21">
        <v>3.0</v>
      </c>
      <c r="I9" s="13" t="s">
        <v>18</v>
      </c>
      <c r="J9" s="51">
        <f>'P E'!D22</f>
        <v>197.9607825</v>
      </c>
      <c r="K9" s="50">
        <f>'P E'!C22</f>
        <v>57.65197117</v>
      </c>
      <c r="L9" s="48">
        <f>'P E'!B22</f>
        <v>34.02762439</v>
      </c>
      <c r="O9" s="1"/>
      <c r="P9" s="16">
        <v>3.0</v>
      </c>
      <c r="Q9" s="13" t="s">
        <v>19</v>
      </c>
      <c r="R9" s="59">
        <f>'P E'!D17</f>
        <v>44.94806041</v>
      </c>
      <c r="S9" s="59">
        <f>'P E'!C17</f>
        <v>40.47215272</v>
      </c>
      <c r="T9" s="51">
        <f>'P E'!B17</f>
        <v>29.63618178</v>
      </c>
      <c r="W9" s="1"/>
      <c r="X9" s="21">
        <v>3.0</v>
      </c>
      <c r="Y9" s="13" t="s">
        <v>20</v>
      </c>
      <c r="Z9" s="50">
        <f>'P E'!D10</f>
        <v>235.1327997</v>
      </c>
      <c r="AA9" s="56">
        <f>'P E'!C10</f>
        <v>16.73005846</v>
      </c>
      <c r="AB9" s="50">
        <f>'P E'!B10</f>
        <v>21.1033098</v>
      </c>
      <c r="AE9" s="1"/>
      <c r="AF9" s="16">
        <v>3.0</v>
      </c>
      <c r="AG9" s="13" t="s">
        <v>21</v>
      </c>
      <c r="AH9" s="47">
        <f>'P E'!D13</f>
        <v>16.78474605</v>
      </c>
      <c r="AI9" s="55">
        <f>'P E'!C13</f>
        <v>18.72122538</v>
      </c>
      <c r="AJ9" s="54">
        <f>'P E'!B13</f>
        <v>31.1019372</v>
      </c>
      <c r="AM9" s="1"/>
      <c r="AN9" s="1"/>
    </row>
    <row r="10">
      <c r="A10" s="16">
        <v>4.0</v>
      </c>
      <c r="B10" s="9" t="s">
        <v>22</v>
      </c>
      <c r="C10" s="60">
        <f>'P E'!D3</f>
        <v>120.7900009</v>
      </c>
      <c r="D10" s="51">
        <f>'P E'!C3</f>
        <v>278.1320824</v>
      </c>
      <c r="E10" s="51">
        <f>'P E'!B3</f>
        <v>77.10713886</v>
      </c>
      <c r="G10" s="1"/>
      <c r="H10" s="21">
        <v>4.0</v>
      </c>
      <c r="I10" s="13" t="s">
        <v>23</v>
      </c>
      <c r="J10" s="56">
        <f>'P E'!D18</f>
        <v>1.276184182</v>
      </c>
      <c r="K10" s="56">
        <f>'P E'!C18</f>
        <v>3.554664664</v>
      </c>
      <c r="L10" s="56">
        <f>'P E'!B18</f>
        <v>3.720346855</v>
      </c>
      <c r="O10" s="1"/>
      <c r="P10" s="16">
        <v>4.0</v>
      </c>
      <c r="Q10" s="13" t="s">
        <v>24</v>
      </c>
      <c r="R10" s="48">
        <f>'P E'!D21</f>
        <v>22.27037323</v>
      </c>
      <c r="S10" s="48">
        <f>'P E'!C21</f>
        <v>22.22105745</v>
      </c>
      <c r="T10" s="59">
        <f>'P E'!B21</f>
        <v>64.99084917</v>
      </c>
      <c r="W10" s="1"/>
      <c r="X10" s="21">
        <v>4.0</v>
      </c>
      <c r="Y10" s="13" t="s">
        <v>25</v>
      </c>
      <c r="Z10" s="49">
        <f>'P E'!D23</f>
        <v>-193.6057751</v>
      </c>
      <c r="AA10" s="51">
        <f>'P E'!C23</f>
        <v>29.29373756</v>
      </c>
      <c r="AB10" s="51">
        <f>'P E'!B23</f>
        <v>22.52574093</v>
      </c>
      <c r="AE10" s="1"/>
      <c r="AF10" s="16">
        <v>4.0</v>
      </c>
      <c r="AG10" s="13" t="s">
        <v>26</v>
      </c>
      <c r="AH10" s="57">
        <f>'P E'!D12</f>
        <v>29.18595632</v>
      </c>
      <c r="AI10" s="54">
        <f>'P E'!C12</f>
        <v>19.98123169</v>
      </c>
      <c r="AJ10" s="57">
        <f>'P E'!B12</f>
        <v>32.0207728</v>
      </c>
      <c r="AM10" s="1"/>
      <c r="AN10" s="1"/>
    </row>
    <row r="11">
      <c r="A11" s="27"/>
      <c r="B11" s="1"/>
      <c r="C11" s="1"/>
      <c r="D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6">
        <v>5.0</v>
      </c>
      <c r="Q11" s="13" t="s">
        <v>27</v>
      </c>
      <c r="R11" s="56">
        <f>'P E'!D8</f>
        <v>9.801829826</v>
      </c>
      <c r="S11" s="56">
        <f>'P E'!C8</f>
        <v>12.96031986</v>
      </c>
      <c r="T11" s="56">
        <f>'P E'!B8</f>
        <v>11.03122987</v>
      </c>
      <c r="V11" s="1"/>
      <c r="W11" s="1"/>
      <c r="X11" s="1"/>
      <c r="Y11" s="1"/>
      <c r="Z11" s="3"/>
      <c r="AA11" s="3"/>
      <c r="AB11" s="3"/>
      <c r="AC11" s="1"/>
      <c r="AD11" s="1"/>
      <c r="AE11" s="1"/>
      <c r="AF11" s="16">
        <v>5.0</v>
      </c>
      <c r="AG11" s="13" t="s">
        <v>28</v>
      </c>
      <c r="AH11" s="54">
        <f>'P E'!D7</f>
        <v>24.04078199</v>
      </c>
      <c r="AI11" s="47">
        <f>'P E'!C7</f>
        <v>17.23525202</v>
      </c>
      <c r="AJ11" s="47">
        <f>'P E'!B7</f>
        <v>15.27415105</v>
      </c>
      <c r="AL11" s="1"/>
      <c r="AM11" s="1"/>
      <c r="A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  <c r="AA12" s="3"/>
      <c r="AB12" s="3"/>
      <c r="AC12" s="1"/>
      <c r="AD12" s="1"/>
      <c r="AE12" s="1"/>
      <c r="AF12" s="1"/>
      <c r="AG12" s="1"/>
      <c r="AH12" s="3"/>
      <c r="AI12" s="3"/>
      <c r="AJ12" s="3"/>
      <c r="AK12" s="1"/>
      <c r="AL12" s="1"/>
      <c r="AM12" s="1"/>
      <c r="AN12" s="1"/>
    </row>
    <row r="13">
      <c r="A13" s="3">
        <v>2.0</v>
      </c>
      <c r="B13" s="4" t="s">
        <v>38</v>
      </c>
      <c r="C13" s="1"/>
      <c r="D13" s="1"/>
      <c r="E13" s="1"/>
      <c r="F13" s="1"/>
      <c r="G13" s="1"/>
      <c r="H13" s="3">
        <v>2.0</v>
      </c>
      <c r="I13" s="4" t="s">
        <v>38</v>
      </c>
      <c r="J13" s="1"/>
      <c r="K13" s="1"/>
      <c r="L13" s="1"/>
      <c r="M13" s="1"/>
      <c r="N13" s="1"/>
      <c r="O13" s="1"/>
      <c r="P13" s="3">
        <v>2.0</v>
      </c>
      <c r="Q13" s="4" t="s">
        <v>38</v>
      </c>
      <c r="R13" s="1"/>
      <c r="S13" s="1"/>
      <c r="T13" s="1"/>
      <c r="U13" s="1"/>
      <c r="V13" s="1"/>
      <c r="W13" s="1"/>
      <c r="X13" s="3">
        <v>2.0</v>
      </c>
      <c r="Y13" s="4" t="s">
        <v>38</v>
      </c>
      <c r="Z13" s="3"/>
      <c r="AA13" s="3"/>
      <c r="AB13" s="3"/>
      <c r="AC13" s="1"/>
      <c r="AD13" s="1"/>
      <c r="AE13" s="1"/>
      <c r="AF13" s="3">
        <v>2.0</v>
      </c>
      <c r="AG13" s="4" t="s">
        <v>38</v>
      </c>
      <c r="AH13" s="3"/>
      <c r="AI13" s="3"/>
      <c r="AJ13" s="3"/>
      <c r="AK13" s="1"/>
    </row>
    <row r="14">
      <c r="A14" s="1"/>
      <c r="B14" s="8"/>
      <c r="C14" s="6">
        <v>2024.0</v>
      </c>
      <c r="D14" s="1"/>
      <c r="E14" s="1"/>
      <c r="G14" s="1"/>
      <c r="H14" s="1"/>
      <c r="I14" s="8"/>
      <c r="J14" s="6">
        <v>2024.0</v>
      </c>
      <c r="K14" s="1"/>
      <c r="L14" s="1"/>
      <c r="M14" s="1"/>
      <c r="N14" s="1"/>
      <c r="O14" s="1"/>
      <c r="P14" s="1"/>
      <c r="Q14" s="8"/>
      <c r="R14" s="6">
        <v>2024.0</v>
      </c>
      <c r="S14" s="1"/>
      <c r="T14" s="1"/>
      <c r="V14" s="1"/>
      <c r="W14" s="1"/>
      <c r="X14" s="1"/>
      <c r="Y14" s="8"/>
      <c r="Z14" s="61">
        <v>2024.0</v>
      </c>
      <c r="AA14" s="3"/>
      <c r="AB14" s="3"/>
      <c r="AC14" s="1"/>
      <c r="AD14" s="1"/>
      <c r="AE14" s="1"/>
      <c r="AF14" s="1"/>
      <c r="AG14" s="8"/>
      <c r="AH14" s="61">
        <v>2024.0</v>
      </c>
      <c r="AI14" s="3"/>
      <c r="AJ14" s="3"/>
      <c r="AK14" s="1"/>
    </row>
    <row r="15">
      <c r="A15" s="16">
        <v>1.0</v>
      </c>
      <c r="B15" s="9" t="s">
        <v>7</v>
      </c>
      <c r="C15" s="62">
        <f>PEG!B2</f>
        <v>-16650.04488</v>
      </c>
      <c r="D15" s="1"/>
      <c r="E15" s="1"/>
      <c r="G15" s="1"/>
      <c r="H15" s="16">
        <v>1.0</v>
      </c>
      <c r="I15" s="13" t="s">
        <v>8</v>
      </c>
      <c r="J15" s="63" t="str">
        <f>PEG!B5</f>
        <v/>
      </c>
      <c r="K15" s="1"/>
      <c r="L15" s="1"/>
      <c r="M15" s="1"/>
      <c r="N15" s="1"/>
      <c r="O15" s="1"/>
      <c r="P15" s="16">
        <v>1.0</v>
      </c>
      <c r="Q15" s="13" t="s">
        <v>9</v>
      </c>
      <c r="R15" s="64">
        <f>PEG!B11</f>
        <v>71.48748575</v>
      </c>
      <c r="S15" s="1"/>
      <c r="T15" s="1"/>
      <c r="V15" s="1"/>
      <c r="W15" s="1"/>
      <c r="X15" s="16">
        <v>1.0</v>
      </c>
      <c r="Y15" s="13" t="s">
        <v>10</v>
      </c>
      <c r="Z15" s="65">
        <f>PEG!B4</f>
        <v>-156.8032023</v>
      </c>
      <c r="AA15" s="3"/>
      <c r="AB15" s="3"/>
      <c r="AC15" s="1"/>
      <c r="AD15" s="1"/>
      <c r="AE15" s="1"/>
      <c r="AF15" s="16">
        <v>1.0</v>
      </c>
      <c r="AG15" s="13" t="s">
        <v>11</v>
      </c>
      <c r="AH15" s="49">
        <f>PEG!B9</f>
        <v>447.6324368</v>
      </c>
      <c r="AI15" s="3"/>
      <c r="AJ15" s="3"/>
      <c r="AK15" s="1"/>
    </row>
    <row r="16">
      <c r="A16" s="16">
        <v>2.0</v>
      </c>
      <c r="B16" s="9" t="s">
        <v>12</v>
      </c>
      <c r="C16" s="64">
        <f>PEG!B16</f>
        <v>333.6570019</v>
      </c>
      <c r="D16" s="1"/>
      <c r="E16" s="1"/>
      <c r="G16" s="1"/>
      <c r="H16" s="16">
        <v>2.0</v>
      </c>
      <c r="I16" s="13" t="s">
        <v>13</v>
      </c>
      <c r="J16" s="64">
        <f>PEG!B14</f>
        <v>45.63267909</v>
      </c>
      <c r="K16" s="1"/>
      <c r="L16" s="1"/>
      <c r="M16" s="1"/>
      <c r="N16" s="1"/>
      <c r="O16" s="1"/>
      <c r="P16" s="16">
        <v>2.0</v>
      </c>
      <c r="Q16" s="13" t="s">
        <v>14</v>
      </c>
      <c r="R16" s="64">
        <f>PEG!B15</f>
        <v>36.66413117</v>
      </c>
      <c r="S16" s="1"/>
      <c r="T16" s="1"/>
      <c r="V16" s="1"/>
      <c r="W16" s="1"/>
      <c r="X16" s="16">
        <v>2.0</v>
      </c>
      <c r="Y16" s="13" t="s">
        <v>15</v>
      </c>
      <c r="Z16" s="49">
        <f>PEG!B20</f>
        <v>11747.26567</v>
      </c>
      <c r="AA16" s="3"/>
      <c r="AB16" s="3"/>
      <c r="AC16" s="1"/>
      <c r="AD16" s="1"/>
      <c r="AE16" s="1"/>
      <c r="AF16" s="16">
        <v>2.0</v>
      </c>
      <c r="AG16" s="13" t="s">
        <v>16</v>
      </c>
      <c r="AH16" s="49">
        <f>PEG!B19</f>
        <v>515.3913609</v>
      </c>
      <c r="AI16" s="3"/>
      <c r="AJ16" s="3"/>
      <c r="AK16" s="1"/>
    </row>
    <row r="17">
      <c r="A17" s="16">
        <v>3.0</v>
      </c>
      <c r="B17" s="9" t="s">
        <v>17</v>
      </c>
      <c r="C17" s="64">
        <f>PEG!B6</f>
        <v>377.486701</v>
      </c>
      <c r="D17" s="1"/>
      <c r="E17" s="1"/>
      <c r="G17" s="1"/>
      <c r="H17" s="16">
        <v>3.0</v>
      </c>
      <c r="I17" s="13" t="s">
        <v>18</v>
      </c>
      <c r="J17" s="62"/>
      <c r="K17" s="1"/>
      <c r="L17" s="1"/>
      <c r="M17" s="1"/>
      <c r="N17" s="1"/>
      <c r="O17" s="1"/>
      <c r="P17" s="16">
        <v>3.0</v>
      </c>
      <c r="Q17" s="13" t="s">
        <v>19</v>
      </c>
      <c r="R17" s="64">
        <f>PEG!B17</f>
        <v>109.1703514</v>
      </c>
      <c r="S17" s="1"/>
      <c r="T17" s="1"/>
      <c r="V17" s="1"/>
      <c r="W17" s="1"/>
      <c r="X17" s="16">
        <v>3.0</v>
      </c>
      <c r="Y17" s="13" t="s">
        <v>20</v>
      </c>
      <c r="Z17" s="65">
        <f>PEG!B10</f>
        <v>-347.3686981</v>
      </c>
      <c r="AA17" s="3"/>
      <c r="AB17" s="3"/>
      <c r="AC17" s="1"/>
      <c r="AD17" s="1"/>
      <c r="AE17" s="1"/>
      <c r="AF17" s="16">
        <v>3.0</v>
      </c>
      <c r="AG17" s="13" t="s">
        <v>21</v>
      </c>
      <c r="AH17" s="49">
        <f>PEG!B13</f>
        <v>52.29774942</v>
      </c>
      <c r="AI17" s="3"/>
      <c r="AJ17" s="3"/>
      <c r="AK17" s="1"/>
      <c r="AL17" s="1"/>
      <c r="AM17" s="1"/>
      <c r="AN17" s="1"/>
    </row>
    <row r="18">
      <c r="A18" s="16">
        <v>4.0</v>
      </c>
      <c r="B18" s="9" t="s">
        <v>22</v>
      </c>
      <c r="C18" s="64">
        <f>PEG!B3</f>
        <v>1326.059158</v>
      </c>
      <c r="D18" s="1"/>
      <c r="E18" s="1"/>
      <c r="G18" s="1"/>
      <c r="H18" s="16">
        <v>4.0</v>
      </c>
      <c r="I18" s="13" t="s">
        <v>23</v>
      </c>
      <c r="J18" s="64">
        <f>PEG!B18</f>
        <v>1.480441691</v>
      </c>
      <c r="K18" s="1"/>
      <c r="L18" s="1"/>
      <c r="M18" s="1"/>
      <c r="N18" s="1"/>
      <c r="O18" s="1"/>
      <c r="P18" s="16">
        <v>4.0</v>
      </c>
      <c r="Q18" s="13" t="s">
        <v>24</v>
      </c>
      <c r="R18" s="64">
        <f>PEG!B21</f>
        <v>19.1082638</v>
      </c>
      <c r="S18" s="1"/>
      <c r="T18" s="1"/>
      <c r="V18" s="1"/>
      <c r="W18" s="1"/>
      <c r="X18" s="16">
        <v>4.0</v>
      </c>
      <c r="Y18" s="13" t="s">
        <v>25</v>
      </c>
      <c r="Z18" s="66" t="str">
        <f>PEG!B23</f>
        <v/>
      </c>
      <c r="AA18" s="3"/>
      <c r="AB18" s="3"/>
      <c r="AC18" s="1"/>
      <c r="AD18" s="1"/>
      <c r="AE18" s="1"/>
      <c r="AF18" s="16">
        <v>4.0</v>
      </c>
      <c r="AG18" s="13" t="s">
        <v>26</v>
      </c>
      <c r="AH18" s="49">
        <f>PEG!B12</f>
        <v>1488.34208</v>
      </c>
      <c r="AI18" s="3"/>
      <c r="AJ18" s="3"/>
      <c r="AK18" s="1"/>
      <c r="AL18" s="1"/>
      <c r="AM18" s="1"/>
      <c r="AN18" s="1"/>
    </row>
    <row r="19">
      <c r="A19" s="1"/>
      <c r="B19" s="1"/>
      <c r="C19" s="1"/>
      <c r="D19" s="1"/>
      <c r="E19" s="1"/>
      <c r="G19" s="1"/>
      <c r="H19" s="1"/>
      <c r="I19" s="1"/>
      <c r="J19" s="1"/>
      <c r="K19" s="1"/>
      <c r="L19" s="1"/>
      <c r="M19" s="1"/>
      <c r="N19" s="1"/>
      <c r="O19" s="1"/>
      <c r="P19" s="16">
        <v>5.0</v>
      </c>
      <c r="Q19" s="13" t="s">
        <v>27</v>
      </c>
      <c r="R19" s="64">
        <f>PEG!B8</f>
        <v>147.205535</v>
      </c>
      <c r="S19" s="1"/>
      <c r="T19" s="1"/>
      <c r="U19" s="1"/>
      <c r="V19" s="1"/>
      <c r="W19" s="1"/>
      <c r="X19" s="1"/>
      <c r="Y19" s="1"/>
      <c r="Z19" s="3"/>
      <c r="AA19" s="3"/>
      <c r="AB19" s="3"/>
      <c r="AC19" s="1"/>
      <c r="AD19" s="1"/>
      <c r="AE19" s="1"/>
      <c r="AF19" s="16">
        <v>5.0</v>
      </c>
      <c r="AG19" s="13" t="s">
        <v>28</v>
      </c>
      <c r="AH19" s="65">
        <f>PEG!B7</f>
        <v>-741.0592524</v>
      </c>
      <c r="AI19" s="3"/>
      <c r="AJ19" s="3"/>
      <c r="AK19" s="1"/>
      <c r="AL19" s="1"/>
      <c r="AM19" s="1"/>
      <c r="AN19" s="1"/>
    </row>
    <row r="20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  <c r="AA20" s="3"/>
      <c r="AB20" s="3"/>
      <c r="AD20" s="1"/>
      <c r="AE20" s="1"/>
      <c r="AF20" s="1"/>
      <c r="AG20" s="1"/>
      <c r="AH20" s="3"/>
      <c r="AI20" s="3"/>
      <c r="AJ20" s="3"/>
      <c r="AK20" s="1"/>
      <c r="AL20" s="1"/>
      <c r="AM20" s="1"/>
      <c r="AN20" s="1"/>
    </row>
    <row r="21">
      <c r="A21" s="3">
        <v>3.0</v>
      </c>
      <c r="B21" s="4" t="s">
        <v>39</v>
      </c>
      <c r="C21" s="1"/>
      <c r="D21" s="1"/>
      <c r="E21" s="1"/>
      <c r="G21" s="1"/>
      <c r="H21" s="3">
        <v>3.0</v>
      </c>
      <c r="I21" s="4" t="s">
        <v>39</v>
      </c>
      <c r="J21" s="1"/>
      <c r="K21" s="1"/>
      <c r="L21" s="1"/>
      <c r="M21" s="1"/>
      <c r="N21" s="1"/>
      <c r="O21" s="1"/>
      <c r="P21" s="3">
        <v>3.0</v>
      </c>
      <c r="Q21" s="4" t="s">
        <v>39</v>
      </c>
      <c r="R21" s="1"/>
      <c r="S21" s="1"/>
      <c r="T21" s="1"/>
      <c r="U21" s="1"/>
      <c r="V21" s="1"/>
      <c r="W21" s="1"/>
      <c r="X21" s="3">
        <v>3.0</v>
      </c>
      <c r="Y21" s="4" t="s">
        <v>39</v>
      </c>
      <c r="Z21" s="3"/>
      <c r="AA21" s="3"/>
      <c r="AB21" s="3"/>
      <c r="AD21" s="1"/>
      <c r="AE21" s="1"/>
      <c r="AF21" s="3">
        <v>3.0</v>
      </c>
      <c r="AG21" s="4" t="s">
        <v>39</v>
      </c>
      <c r="AH21" s="3"/>
      <c r="AI21" s="3"/>
      <c r="AJ21" s="3"/>
      <c r="AK21" s="1"/>
      <c r="AL21" s="1"/>
      <c r="AM21" s="1"/>
      <c r="AN21" s="1"/>
    </row>
    <row r="22">
      <c r="A22" s="1"/>
      <c r="B22" s="5" t="s">
        <v>6</v>
      </c>
      <c r="C22" s="6">
        <v>2024.0</v>
      </c>
      <c r="D22" s="6">
        <v>2023.0</v>
      </c>
      <c r="E22" s="6">
        <v>2022.0</v>
      </c>
      <c r="G22" s="1"/>
      <c r="H22" s="1"/>
      <c r="I22" s="5" t="s">
        <v>6</v>
      </c>
      <c r="J22" s="6">
        <v>2024.0</v>
      </c>
      <c r="K22" s="6">
        <v>2023.0</v>
      </c>
      <c r="L22" s="6">
        <v>2022.0</v>
      </c>
      <c r="O22" s="1"/>
      <c r="P22" s="1"/>
      <c r="Q22" s="5" t="s">
        <v>6</v>
      </c>
      <c r="R22" s="6">
        <v>2024.0</v>
      </c>
      <c r="S22" s="6">
        <v>2023.0</v>
      </c>
      <c r="T22" s="6">
        <v>2022.0</v>
      </c>
      <c r="V22" s="1"/>
      <c r="W22" s="1"/>
      <c r="X22" s="1"/>
      <c r="Y22" s="5" t="s">
        <v>6</v>
      </c>
      <c r="Z22" s="6">
        <v>2024.0</v>
      </c>
      <c r="AA22" s="6">
        <v>2023.0</v>
      </c>
      <c r="AB22" s="6">
        <v>2022.0</v>
      </c>
      <c r="AE22" s="1"/>
      <c r="AF22" s="1"/>
      <c r="AG22" s="5" t="s">
        <v>6</v>
      </c>
      <c r="AH22" s="7">
        <v>2024.0</v>
      </c>
      <c r="AI22" s="7">
        <v>2023.0</v>
      </c>
      <c r="AJ22" s="7">
        <v>2022.0</v>
      </c>
      <c r="AM22" s="1"/>
      <c r="AN22" s="1"/>
    </row>
    <row r="23">
      <c r="A23" s="16">
        <v>1.0</v>
      </c>
      <c r="B23" s="9" t="s">
        <v>7</v>
      </c>
      <c r="C23" s="67">
        <f>'P S'!D2</f>
        <v>9.804747909</v>
      </c>
      <c r="D23" s="56">
        <f>'P S'!C2</f>
        <v>7.853986153</v>
      </c>
      <c r="E23" s="48">
        <f>'P S'!B2</f>
        <v>5.289538028</v>
      </c>
      <c r="G23" s="1"/>
      <c r="H23" s="16">
        <v>1.0</v>
      </c>
      <c r="I23" s="13" t="s">
        <v>8</v>
      </c>
      <c r="J23" s="58">
        <f>'P S'!D5</f>
        <v>3.686882987</v>
      </c>
      <c r="K23" s="48">
        <f>'P S'!C5</f>
        <v>2.773479659</v>
      </c>
      <c r="L23" s="48">
        <f>'P S'!B5</f>
        <v>1.665183479</v>
      </c>
      <c r="O23" s="1"/>
      <c r="P23" s="16">
        <v>1.0</v>
      </c>
      <c r="Q23" s="13" t="s">
        <v>9</v>
      </c>
      <c r="R23" s="67">
        <f>'P S'!D11</f>
        <v>6.700724146</v>
      </c>
      <c r="S23" s="50">
        <f>'P S'!C11</f>
        <v>5.733907266</v>
      </c>
      <c r="T23" s="51">
        <f>'P S'!B11</f>
        <v>4.07126904</v>
      </c>
      <c r="W23" s="1"/>
      <c r="X23" s="16">
        <v>1.0</v>
      </c>
      <c r="Y23" s="13" t="s">
        <v>10</v>
      </c>
      <c r="Z23" s="58">
        <f>'P S'!D4</f>
        <v>4.027193907</v>
      </c>
      <c r="AA23" s="48">
        <f>'P S'!C4</f>
        <v>5.093358901</v>
      </c>
      <c r="AB23" s="48">
        <f>'P S'!B4</f>
        <v>4.834144093</v>
      </c>
      <c r="AE23" s="1"/>
      <c r="AF23" s="16">
        <v>1.0</v>
      </c>
      <c r="AG23" s="13" t="s">
        <v>11</v>
      </c>
      <c r="AH23" s="68">
        <f>'P S'!D9</f>
        <v>1.588757795</v>
      </c>
      <c r="AI23" s="56">
        <f>'P S'!C9</f>
        <v>1.194191532</v>
      </c>
      <c r="AJ23" s="56">
        <f>'P S'!B9</f>
        <v>0.8561938139</v>
      </c>
      <c r="AM23" s="1"/>
      <c r="AN23" s="1"/>
    </row>
    <row r="24">
      <c r="A24" s="16">
        <v>2.0</v>
      </c>
      <c r="B24" s="9" t="s">
        <v>12</v>
      </c>
      <c r="C24" s="60">
        <f>'P S'!D16</f>
        <v>12.69275928</v>
      </c>
      <c r="D24" s="51">
        <f>'P S'!C16</f>
        <v>13.00624863</v>
      </c>
      <c r="E24" s="50">
        <f>'P S'!B16</f>
        <v>8.86765247</v>
      </c>
      <c r="G24" s="1"/>
      <c r="H24" s="16">
        <v>2.0</v>
      </c>
      <c r="I24" s="13" t="s">
        <v>13</v>
      </c>
      <c r="J24" s="67">
        <f>'P S'!D14</f>
        <v>4.149200149</v>
      </c>
      <c r="K24" s="50">
        <f>'P S'!C14</f>
        <v>5.306042221</v>
      </c>
      <c r="L24" s="50">
        <f>'P S'!B14</f>
        <v>4.029893823</v>
      </c>
      <c r="O24" s="1"/>
      <c r="P24" s="16">
        <v>2.0</v>
      </c>
      <c r="Q24" s="13" t="s">
        <v>14</v>
      </c>
      <c r="R24" s="60">
        <f>'P S'!D15</f>
        <v>9.26685439</v>
      </c>
      <c r="S24" s="59">
        <f>'P S'!C15</f>
        <v>6.844339607</v>
      </c>
      <c r="T24" s="50">
        <f>'P S'!B15</f>
        <v>2.766740861</v>
      </c>
      <c r="W24" s="1"/>
      <c r="X24" s="16">
        <v>2.0</v>
      </c>
      <c r="Y24" s="13" t="s">
        <v>15</v>
      </c>
      <c r="Z24" s="67">
        <f>'P S'!D20</f>
        <v>5.725781782</v>
      </c>
      <c r="AA24" s="50">
        <f>'P S'!C20</f>
        <v>7.550661183</v>
      </c>
      <c r="AB24" s="50">
        <f>'P S'!B20</f>
        <v>6.672058772</v>
      </c>
      <c r="AE24" s="1"/>
      <c r="AF24" s="16">
        <v>2.0</v>
      </c>
      <c r="AG24" s="13" t="s">
        <v>16</v>
      </c>
      <c r="AH24" s="60">
        <f>'P S'!D19</f>
        <v>2.174132932</v>
      </c>
      <c r="AI24" s="50">
        <f>'P S'!C19</f>
        <v>2.371424301</v>
      </c>
      <c r="AJ24" s="50">
        <f>'P S'!B19</f>
        <v>2.603776622</v>
      </c>
      <c r="AM24" s="1"/>
      <c r="AN24" s="1"/>
    </row>
    <row r="25">
      <c r="A25" s="16">
        <v>3.0</v>
      </c>
      <c r="B25" s="9" t="s">
        <v>17</v>
      </c>
      <c r="C25" s="58">
        <f>'P S'!D6</f>
        <v>9.527334794</v>
      </c>
      <c r="D25" s="50">
        <f>'P S'!C6</f>
        <v>10.59932204</v>
      </c>
      <c r="E25" s="51">
        <f>'P S'!B6</f>
        <v>9.958455927</v>
      </c>
      <c r="G25" s="1"/>
      <c r="H25" s="16">
        <v>3.0</v>
      </c>
      <c r="I25" s="13" t="s">
        <v>18</v>
      </c>
      <c r="J25" s="60">
        <f>'P S'!D22</f>
        <v>13.29459953</v>
      </c>
      <c r="K25" s="51">
        <f>'P S'!C22</f>
        <v>8.942511911</v>
      </c>
      <c r="L25" s="51">
        <f>'P S'!B22</f>
        <v>5.254603386</v>
      </c>
      <c r="O25" s="1"/>
      <c r="P25" s="16">
        <v>3.0</v>
      </c>
      <c r="Q25" s="13" t="s">
        <v>19</v>
      </c>
      <c r="R25" s="69">
        <f>'P S'!D17</f>
        <v>10.03878035</v>
      </c>
      <c r="S25" s="51">
        <f>'P S'!C17</f>
        <v>6.489626</v>
      </c>
      <c r="T25" s="59">
        <f>'P S'!B17</f>
        <v>4.20920715</v>
      </c>
      <c r="W25" s="1"/>
      <c r="X25" s="16">
        <v>3.0</v>
      </c>
      <c r="Y25" s="13" t="s">
        <v>20</v>
      </c>
      <c r="Z25" s="68">
        <f>'P S'!D10</f>
        <v>3.899799407</v>
      </c>
      <c r="AA25" s="56">
        <f>'P S'!C10</f>
        <v>3.492729788</v>
      </c>
      <c r="AB25" s="56">
        <f>'P S'!B10</f>
        <v>3.553456697</v>
      </c>
      <c r="AE25" s="1"/>
      <c r="AF25" s="16">
        <v>3.0</v>
      </c>
      <c r="AG25" s="13" t="s">
        <v>21</v>
      </c>
      <c r="AH25" s="67">
        <f>'P S'!D13</f>
        <v>2.121867155</v>
      </c>
      <c r="AI25" s="51">
        <f>'P S'!C13</f>
        <v>2.577911071</v>
      </c>
      <c r="AJ25" s="51">
        <f>'P S'!B13</f>
        <v>2.68063623</v>
      </c>
      <c r="AM25" s="1"/>
      <c r="AN25" s="1"/>
    </row>
    <row r="26">
      <c r="A26" s="16">
        <v>4.0</v>
      </c>
      <c r="B26" s="9" t="s">
        <v>22</v>
      </c>
      <c r="C26" s="68">
        <f>'P S'!D3</f>
        <v>7.668537192</v>
      </c>
      <c r="D26" s="48">
        <f>'P S'!C3</f>
        <v>10.56178377</v>
      </c>
      <c r="E26" s="56">
        <f>'P S'!B3</f>
        <v>4.311413276</v>
      </c>
      <c r="G26" s="1"/>
      <c r="H26" s="16">
        <v>4.0</v>
      </c>
      <c r="I26" s="13" t="s">
        <v>23</v>
      </c>
      <c r="J26" s="68">
        <f>'P S'!D18</f>
        <v>0.3642697113</v>
      </c>
      <c r="K26" s="56">
        <f>'P S'!C18</f>
        <v>0.8625413846</v>
      </c>
      <c r="L26" s="56">
        <f>'P S'!B18</f>
        <v>0.899666772</v>
      </c>
      <c r="O26" s="1"/>
      <c r="P26" s="16">
        <v>4.0</v>
      </c>
      <c r="Q26" s="13" t="s">
        <v>24</v>
      </c>
      <c r="R26" s="58">
        <f>'P S'!D21</f>
        <v>3.100683342</v>
      </c>
      <c r="S26" s="48">
        <f>'P S'!C21</f>
        <v>2.35283989</v>
      </c>
      <c r="T26" s="48">
        <f>'P S'!B21</f>
        <v>2.112217826</v>
      </c>
      <c r="W26" s="1"/>
      <c r="X26" s="16">
        <v>4.0</v>
      </c>
      <c r="Y26" s="13" t="s">
        <v>25</v>
      </c>
      <c r="Z26" s="60">
        <f>'P S'!D23</f>
        <v>9.424264131</v>
      </c>
      <c r="AA26" s="51">
        <f>'P S'!C23</f>
        <v>10.73996361</v>
      </c>
      <c r="AB26" s="51">
        <f>'P S'!B23</f>
        <v>8.378167186</v>
      </c>
      <c r="AE26" s="1"/>
      <c r="AF26" s="16">
        <v>4.0</v>
      </c>
      <c r="AG26" s="13" t="s">
        <v>26</v>
      </c>
      <c r="AH26" s="69">
        <f>'P S'!D12</f>
        <v>2.731541999</v>
      </c>
      <c r="AI26" s="59">
        <f>'P S'!C12</f>
        <v>2.944473363</v>
      </c>
      <c r="AJ26" s="59">
        <f>'P S'!B12</f>
        <v>3.286554079</v>
      </c>
      <c r="AM26" s="1"/>
      <c r="AN26" s="1"/>
    </row>
    <row r="27">
      <c r="A27" s="2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P27" s="16">
        <v>5.0</v>
      </c>
      <c r="Q27" s="13" t="s">
        <v>27</v>
      </c>
      <c r="R27" s="56">
        <f>'P S'!D8</f>
        <v>0.9045355031</v>
      </c>
      <c r="S27" s="56">
        <f>'P S'!C8</f>
        <v>1.081661059</v>
      </c>
      <c r="T27" s="56">
        <f>'P S'!B8</f>
        <v>1.03216159</v>
      </c>
      <c r="W27" s="1"/>
      <c r="X27" s="1"/>
      <c r="Y27" s="1"/>
      <c r="Z27" s="3"/>
      <c r="AA27" s="3"/>
      <c r="AB27" s="3"/>
      <c r="AC27" s="1"/>
      <c r="AE27" s="1"/>
      <c r="AF27" s="16">
        <v>5.0</v>
      </c>
      <c r="AG27" s="13" t="s">
        <v>28</v>
      </c>
      <c r="AH27" s="48">
        <f>'P S'!D7</f>
        <v>1.670174456</v>
      </c>
      <c r="AI27" s="48">
        <f>'P S'!C7</f>
        <v>1.571720883</v>
      </c>
      <c r="AJ27" s="48">
        <f>'P S'!B7</f>
        <v>1.329874122</v>
      </c>
      <c r="AL27" s="32"/>
      <c r="AM27" s="32"/>
      <c r="AN27" s="32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70"/>
      <c r="Q28" s="71"/>
      <c r="R28" s="72"/>
      <c r="S28" s="72"/>
      <c r="T28" s="72"/>
      <c r="V28" s="1"/>
      <c r="W28" s="1"/>
      <c r="X28" s="1"/>
      <c r="Y28" s="1"/>
      <c r="Z28" s="3"/>
      <c r="AA28" s="3"/>
      <c r="AB28" s="3"/>
      <c r="AC28" s="1"/>
      <c r="AD28" s="1"/>
      <c r="AE28" s="1"/>
      <c r="AF28" s="70"/>
      <c r="AG28" s="71"/>
      <c r="AH28" s="72"/>
      <c r="AI28" s="72"/>
      <c r="AJ28" s="72"/>
      <c r="AL28" s="32"/>
      <c r="AM28" s="32"/>
      <c r="AN28" s="32"/>
    </row>
    <row r="29">
      <c r="A29" s="73">
        <v>4.0</v>
      </c>
      <c r="B29" s="4" t="s">
        <v>40</v>
      </c>
      <c r="C29" s="1"/>
      <c r="D29" s="1"/>
      <c r="E29" s="1"/>
      <c r="F29" s="1"/>
      <c r="G29" s="1"/>
      <c r="H29" s="73">
        <v>4.0</v>
      </c>
      <c r="I29" s="4" t="s">
        <v>40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73">
        <v>4.0</v>
      </c>
      <c r="Y29" s="4" t="s">
        <v>40</v>
      </c>
      <c r="Z29" s="3"/>
      <c r="AA29" s="3"/>
      <c r="AB29" s="3"/>
      <c r="AC29" s="1"/>
      <c r="AD29" s="1"/>
      <c r="AE29" s="1"/>
      <c r="AF29" s="1"/>
      <c r="AG29" s="1"/>
      <c r="AH29" s="3"/>
      <c r="AI29" s="3"/>
      <c r="AJ29" s="3"/>
      <c r="AK29" s="1"/>
      <c r="AL29" s="32"/>
      <c r="AM29" s="32"/>
      <c r="AN29" s="32"/>
    </row>
    <row r="30">
      <c r="A30" s="1"/>
      <c r="B30" s="5" t="s">
        <v>6</v>
      </c>
      <c r="C30" s="6">
        <v>2024.0</v>
      </c>
      <c r="D30" s="6">
        <v>2023.0</v>
      </c>
      <c r="E30" s="6">
        <v>2022.0</v>
      </c>
      <c r="F30" s="1"/>
      <c r="G30" s="1"/>
      <c r="H30" s="1"/>
      <c r="I30" s="5" t="s">
        <v>6</v>
      </c>
      <c r="J30" s="6">
        <v>2024.0</v>
      </c>
      <c r="K30" s="6">
        <v>2023.0</v>
      </c>
      <c r="L30" s="6">
        <v>2022.0</v>
      </c>
      <c r="O30" s="1"/>
      <c r="P30" s="73">
        <v>4.0</v>
      </c>
      <c r="Q30" s="4" t="s">
        <v>40</v>
      </c>
      <c r="R30" s="1"/>
      <c r="S30" s="1"/>
      <c r="T30" s="1"/>
      <c r="U30" s="1"/>
      <c r="V30" s="1"/>
      <c r="W30" s="1"/>
      <c r="X30" s="1"/>
      <c r="Y30" s="5" t="s">
        <v>6</v>
      </c>
      <c r="Z30" s="6">
        <v>2024.0</v>
      </c>
      <c r="AA30" s="6">
        <v>2023.0</v>
      </c>
      <c r="AB30" s="6">
        <v>2022.0</v>
      </c>
      <c r="AE30" s="1"/>
      <c r="AF30" s="73">
        <v>4.0</v>
      </c>
      <c r="AG30" s="74" t="s">
        <v>40</v>
      </c>
      <c r="AH30" s="3"/>
      <c r="AI30" s="3"/>
      <c r="AJ30" s="3"/>
      <c r="AK30" s="1"/>
      <c r="AL30" s="36"/>
      <c r="AM30" s="36"/>
      <c r="AN30" s="36"/>
    </row>
    <row r="31">
      <c r="A31" s="16">
        <v>1.0</v>
      </c>
      <c r="B31" s="9" t="s">
        <v>7</v>
      </c>
      <c r="C31" s="75">
        <f>'EV EBITDA'!D2</f>
        <v>29.04096656</v>
      </c>
      <c r="D31" s="56">
        <f>'EV EBITDA'!C2</f>
        <v>24.57032334</v>
      </c>
      <c r="E31" s="56">
        <f>'EV EBITDA'!B2</f>
        <v>16.81193611</v>
      </c>
      <c r="G31" s="1"/>
      <c r="H31" s="16">
        <v>1.0</v>
      </c>
      <c r="I31" s="13" t="s">
        <v>8</v>
      </c>
      <c r="J31" s="76">
        <f>'EV EBITDA'!D5</f>
        <v>19.41768916</v>
      </c>
      <c r="K31" s="48">
        <f>'EV EBITDA'!C5</f>
        <v>18.5273093</v>
      </c>
      <c r="L31" s="50">
        <f>'EV EBITDA'!B5</f>
        <v>24.56471631</v>
      </c>
      <c r="O31" s="1"/>
      <c r="P31" s="1"/>
      <c r="Q31" s="5" t="s">
        <v>6</v>
      </c>
      <c r="R31" s="6">
        <v>2024.0</v>
      </c>
      <c r="S31" s="6">
        <v>2023.0</v>
      </c>
      <c r="T31" s="6">
        <v>2022.0</v>
      </c>
      <c r="U31" s="1"/>
      <c r="W31" s="1"/>
      <c r="X31" s="16">
        <v>1.0</v>
      </c>
      <c r="Y31" s="13" t="s">
        <v>10</v>
      </c>
      <c r="Z31" s="56">
        <f>'EV EBITDA'!D4</f>
        <v>13.68156103</v>
      </c>
      <c r="AA31" s="48">
        <f>'EV EBITDA'!C4</f>
        <v>13.32685544</v>
      </c>
      <c r="AB31" s="56">
        <f>'EV EBITDA'!B4</f>
        <v>13.03025515</v>
      </c>
      <c r="AE31" s="1"/>
      <c r="AF31" s="1"/>
      <c r="AG31" s="5" t="s">
        <v>6</v>
      </c>
      <c r="AH31" s="7">
        <v>2024.0</v>
      </c>
      <c r="AI31" s="7">
        <v>2023.0</v>
      </c>
      <c r="AJ31" s="7">
        <v>2022.0</v>
      </c>
      <c r="AK31" s="1"/>
      <c r="AL31" s="77"/>
      <c r="AM31" s="1"/>
      <c r="AN31" s="1"/>
    </row>
    <row r="32">
      <c r="A32" s="16">
        <v>2.0</v>
      </c>
      <c r="B32" s="9" t="s">
        <v>12</v>
      </c>
      <c r="C32" s="78">
        <f>'EV EBITDA'!D16</f>
        <v>23.75844147</v>
      </c>
      <c r="D32" s="48">
        <f>'EV EBITDA'!C16</f>
        <v>26.45501406</v>
      </c>
      <c r="E32" s="48">
        <f>'EV EBITDA'!B16</f>
        <v>18.01223531</v>
      </c>
      <c r="G32" s="1"/>
      <c r="H32" s="16">
        <v>2.0</v>
      </c>
      <c r="I32" s="13" t="s">
        <v>13</v>
      </c>
      <c r="J32" s="75">
        <f>'EV EBITDA'!D14</f>
        <v>28.1340795</v>
      </c>
      <c r="K32" s="50">
        <f>'EV EBITDA'!C14</f>
        <v>36.8437938</v>
      </c>
      <c r="L32" s="51">
        <f>'EV EBITDA'!B14</f>
        <v>35.61931367</v>
      </c>
      <c r="O32" s="1"/>
      <c r="P32" s="16">
        <v>1.0</v>
      </c>
      <c r="Q32" s="13" t="s">
        <v>9</v>
      </c>
      <c r="R32" s="79">
        <f>'EV EBITDA'!D11</f>
        <v>17.31599675</v>
      </c>
      <c r="S32" s="59">
        <f>'EV EBITDA'!C11</f>
        <v>18.02208501</v>
      </c>
      <c r="T32" s="51">
        <f>'EV EBITDA'!B11</f>
        <v>13.61321571</v>
      </c>
      <c r="W32" s="1"/>
      <c r="X32" s="16">
        <v>2.0</v>
      </c>
      <c r="Y32" s="13" t="s">
        <v>15</v>
      </c>
      <c r="Z32" s="48">
        <f>'EV EBITDA'!D20</f>
        <v>15.33165718</v>
      </c>
      <c r="AA32" s="51">
        <f>'EV EBITDA'!C20</f>
        <v>21.09740116</v>
      </c>
      <c r="AB32" s="51">
        <f>'EV EBITDA'!B20</f>
        <v>15.36500955</v>
      </c>
      <c r="AE32" s="1"/>
      <c r="AF32" s="16">
        <v>1.0</v>
      </c>
      <c r="AG32" s="13" t="s">
        <v>11</v>
      </c>
      <c r="AH32" s="59">
        <f>'EV EBITDA'!D9</f>
        <v>33.14072016</v>
      </c>
      <c r="AI32" s="59">
        <f>'EV EBITDA'!C9</f>
        <v>26.53158022</v>
      </c>
      <c r="AJ32" s="51">
        <f>'EV EBITDA'!B9</f>
        <v>19.51430701</v>
      </c>
      <c r="AL32" s="77"/>
      <c r="AM32" s="1"/>
      <c r="AN32" s="1"/>
    </row>
    <row r="33">
      <c r="A33" s="16">
        <v>3.0</v>
      </c>
      <c r="B33" s="9" t="s">
        <v>17</v>
      </c>
      <c r="C33" s="76">
        <f>'EV EBITDA'!D6</f>
        <v>25.80325285</v>
      </c>
      <c r="D33" s="50">
        <f>'EV EBITDA'!C6</f>
        <v>29.04253373</v>
      </c>
      <c r="E33" s="51">
        <f>'EV EBITDA'!B6</f>
        <v>29.27208939</v>
      </c>
      <c r="G33" s="1"/>
      <c r="H33" s="16">
        <v>3.0</v>
      </c>
      <c r="I33" s="13" t="s">
        <v>18</v>
      </c>
      <c r="J33" s="79">
        <f>'EV EBITDA'!D22</f>
        <v>88.13118223</v>
      </c>
      <c r="K33" s="51">
        <f>'EV EBITDA'!C22</f>
        <v>58.02708199</v>
      </c>
      <c r="L33" s="48">
        <f>'EV EBITDA'!B22</f>
        <v>23.64759025</v>
      </c>
      <c r="O33" s="1"/>
      <c r="P33" s="16">
        <v>2.0</v>
      </c>
      <c r="Q33" s="13" t="s">
        <v>14</v>
      </c>
      <c r="R33" s="80">
        <f>'EV EBITDA'!D15</f>
        <v>17.60644843</v>
      </c>
      <c r="S33" s="51">
        <f>'EV EBITDA'!C15</f>
        <v>15.55725634</v>
      </c>
      <c r="T33" s="50">
        <f>'EV EBITDA'!B15</f>
        <v>8.876011808</v>
      </c>
      <c r="W33" s="1"/>
      <c r="X33" s="16">
        <v>3.0</v>
      </c>
      <c r="Y33" s="13" t="s">
        <v>20</v>
      </c>
      <c r="Z33" s="50">
        <f>'EV EBITDA'!D10</f>
        <v>29.06062971</v>
      </c>
      <c r="AA33" s="56">
        <f>'EV EBITDA'!C10</f>
        <v>10.8242055</v>
      </c>
      <c r="AB33" s="48">
        <f>'EV EBITDA'!B10</f>
        <v>13.19022279</v>
      </c>
      <c r="AE33" s="1"/>
      <c r="AF33" s="16">
        <v>2.0</v>
      </c>
      <c r="AG33" s="13" t="s">
        <v>16</v>
      </c>
      <c r="AH33" s="50">
        <f>'EV EBITDA'!D19</f>
        <v>14.15742244</v>
      </c>
      <c r="AI33" s="51">
        <f>'EV EBITDA'!C19</f>
        <v>15.98746682</v>
      </c>
      <c r="AJ33" s="48">
        <f>'EV EBITDA'!B19</f>
        <v>17.39114647</v>
      </c>
      <c r="AL33" s="77"/>
      <c r="AM33" s="1"/>
      <c r="AN33" s="1"/>
    </row>
    <row r="34">
      <c r="A34" s="16">
        <v>4.0</v>
      </c>
      <c r="B34" s="9" t="s">
        <v>22</v>
      </c>
      <c r="C34" s="79">
        <f>'EV EBITDA'!D3</f>
        <v>38.12599252</v>
      </c>
      <c r="D34" s="51">
        <f>'EV EBITDA'!C3</f>
        <v>58.90181584</v>
      </c>
      <c r="E34" s="50">
        <f>'EV EBITDA'!B3</f>
        <v>18.03065861</v>
      </c>
      <c r="G34" s="1"/>
      <c r="H34" s="16">
        <v>4.0</v>
      </c>
      <c r="I34" s="13" t="s">
        <v>23</v>
      </c>
      <c r="J34" s="78">
        <f>'EV EBITDA'!D18</f>
        <v>0.711632591</v>
      </c>
      <c r="K34" s="56">
        <f>'EV EBITDA'!C18</f>
        <v>2.22142067</v>
      </c>
      <c r="L34" s="56">
        <f>'EV EBITDA'!B18</f>
        <v>2.552341149</v>
      </c>
      <c r="O34" s="1"/>
      <c r="P34" s="16">
        <v>3.0</v>
      </c>
      <c r="Q34" s="13" t="s">
        <v>19</v>
      </c>
      <c r="R34" s="75">
        <f>'EV EBITDA'!D17</f>
        <v>15.17396611</v>
      </c>
      <c r="S34" s="48">
        <f>'EV EBITDA'!C17</f>
        <v>10.52045107</v>
      </c>
      <c r="T34" s="56">
        <f>'EV EBITDA'!B17</f>
        <v>6.997620323</v>
      </c>
      <c r="W34" s="1"/>
      <c r="X34" s="16">
        <v>4.0</v>
      </c>
      <c r="Y34" s="13" t="s">
        <v>25</v>
      </c>
      <c r="Z34" s="51">
        <f>'EV EBITDA'!D23</f>
        <v>207.7545407</v>
      </c>
      <c r="AA34" s="50">
        <f>'EV EBITDA'!C23</f>
        <v>20.94027378</v>
      </c>
      <c r="AB34" s="50">
        <f>'EV EBITDA'!B23</f>
        <v>14.70377583</v>
      </c>
      <c r="AE34" s="1"/>
      <c r="AF34" s="16">
        <v>3.0</v>
      </c>
      <c r="AG34" s="13" t="s">
        <v>21</v>
      </c>
      <c r="AH34" s="56">
        <f>'EV EBITDA'!D13</f>
        <v>11.68925301</v>
      </c>
      <c r="AI34" s="48">
        <f>'EV EBITDA'!C13</f>
        <v>14.51681428</v>
      </c>
      <c r="AJ34" s="59">
        <f>'EV EBITDA'!B13</f>
        <v>22.24508056</v>
      </c>
      <c r="AL34" s="77"/>
      <c r="AM34" s="1"/>
      <c r="AN34" s="1"/>
    </row>
    <row r="35">
      <c r="A35" s="27"/>
      <c r="B35" s="1"/>
      <c r="C35" s="1"/>
      <c r="D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6">
        <v>4.0</v>
      </c>
      <c r="Q35" s="13" t="s">
        <v>24</v>
      </c>
      <c r="R35" s="76">
        <f>'EV EBITDA'!D21</f>
        <v>11.62717041</v>
      </c>
      <c r="S35" s="50">
        <f>'EV EBITDA'!C21</f>
        <v>10.78319815</v>
      </c>
      <c r="T35" s="59">
        <f>'EV EBITDA'!B21</f>
        <v>13.65786839</v>
      </c>
      <c r="W35" s="1"/>
      <c r="X35" s="1"/>
      <c r="Y35" s="1"/>
      <c r="Z35" s="1"/>
      <c r="AA35" s="1"/>
      <c r="AB35" s="1"/>
      <c r="AC35" s="1"/>
      <c r="AD35" s="1"/>
      <c r="AE35" s="1"/>
      <c r="AF35" s="16">
        <v>4.0</v>
      </c>
      <c r="AG35" s="13" t="s">
        <v>26</v>
      </c>
      <c r="AH35" s="51">
        <f>'EV EBITDA'!D12</f>
        <v>16.84680699</v>
      </c>
      <c r="AI35" s="50">
        <f>'EV EBITDA'!C12</f>
        <v>14.64294699</v>
      </c>
      <c r="AJ35" s="50">
        <f>'EV EBITDA'!B12</f>
        <v>18.98336773</v>
      </c>
      <c r="AL35" s="77"/>
      <c r="AM35" s="1"/>
      <c r="AN35" s="1"/>
    </row>
    <row r="36">
      <c r="A36" s="1"/>
      <c r="B36" s="1"/>
      <c r="C36" s="1"/>
      <c r="D36" s="1"/>
      <c r="E36" s="1"/>
      <c r="F36" s="1"/>
      <c r="G36" s="1"/>
      <c r="H36" s="81" t="s">
        <v>41</v>
      </c>
      <c r="K36" s="1"/>
      <c r="L36" s="1"/>
      <c r="M36" s="1"/>
      <c r="N36" s="1"/>
      <c r="O36" s="1"/>
      <c r="P36" s="16">
        <v>5.0</v>
      </c>
      <c r="Q36" s="13" t="s">
        <v>27</v>
      </c>
      <c r="R36" s="78">
        <f>'EV EBITDA'!D8</f>
        <v>6.780524116</v>
      </c>
      <c r="S36" s="56">
        <f>'EV EBITDA'!C8</f>
        <v>7.549390752</v>
      </c>
      <c r="T36" s="48">
        <f>'EV EBITDA'!B8</f>
        <v>7.299719584</v>
      </c>
      <c r="V36" s="1"/>
      <c r="W36" s="1"/>
      <c r="X36" s="81" t="s">
        <v>41</v>
      </c>
      <c r="AA36" s="1"/>
      <c r="AB36" s="1"/>
      <c r="AC36" s="1"/>
      <c r="AD36" s="1"/>
      <c r="AE36" s="1"/>
      <c r="AF36" s="16">
        <v>5.0</v>
      </c>
      <c r="AG36" s="13" t="s">
        <v>28</v>
      </c>
      <c r="AH36" s="48">
        <f>'EV EBITDA'!D7</f>
        <v>14.11219078</v>
      </c>
      <c r="AI36" s="56">
        <f>'EV EBITDA'!C7</f>
        <v>12.27197834</v>
      </c>
      <c r="AJ36" s="56">
        <f>'EV EBITDA'!B7</f>
        <v>11.43217029</v>
      </c>
      <c r="AL36" s="1"/>
      <c r="AM36" s="1"/>
      <c r="AN36" s="1"/>
    </row>
    <row r="37">
      <c r="A37" s="81" t="s">
        <v>41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L37" s="1"/>
      <c r="AM37" s="1"/>
      <c r="AN37" s="1"/>
    </row>
    <row r="38">
      <c r="A38" s="82" t="s">
        <v>42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1" t="s">
        <v>41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81" t="s">
        <v>41</v>
      </c>
      <c r="AI38" s="1"/>
      <c r="AJ38" s="1"/>
      <c r="AK38" s="1"/>
      <c r="AL38" s="1"/>
      <c r="AM38" s="1"/>
      <c r="AN38" s="1"/>
    </row>
    <row r="39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K39" s="1"/>
      <c r="AL39" s="1"/>
      <c r="AM39" s="1"/>
      <c r="AN39" s="1"/>
    </row>
    <row r="40">
      <c r="D40" s="1"/>
      <c r="E40" s="1"/>
      <c r="F40" s="1"/>
      <c r="G40" s="1"/>
      <c r="H40" s="83" t="s">
        <v>43</v>
      </c>
      <c r="L40" s="83"/>
      <c r="M40" s="1"/>
      <c r="N40" s="1"/>
      <c r="O40" s="1"/>
      <c r="P40" s="41" t="s">
        <v>44</v>
      </c>
      <c r="U40" s="1"/>
      <c r="V40" s="1"/>
      <c r="W40" s="1"/>
      <c r="X40" s="42" t="s">
        <v>45</v>
      </c>
      <c r="AC40" s="1"/>
      <c r="AD40" s="1"/>
      <c r="AE40" s="1"/>
      <c r="AF40" s="42" t="s">
        <v>46</v>
      </c>
      <c r="AK40" s="1"/>
      <c r="AL40" s="1"/>
      <c r="AM40" s="1"/>
      <c r="AN40" s="1"/>
    </row>
    <row r="41">
      <c r="H41" s="44" t="s">
        <v>23</v>
      </c>
      <c r="P41" s="44" t="s">
        <v>27</v>
      </c>
      <c r="X41" s="44" t="s">
        <v>15</v>
      </c>
      <c r="AF41" s="44" t="s">
        <v>28</v>
      </c>
    </row>
    <row r="42">
      <c r="H42" s="44" t="s">
        <v>8</v>
      </c>
      <c r="P42" s="44" t="s">
        <v>24</v>
      </c>
      <c r="X42" s="44" t="s">
        <v>10</v>
      </c>
      <c r="AF42" s="44" t="s">
        <v>21</v>
      </c>
    </row>
    <row r="45">
      <c r="A45" s="84" t="s">
        <v>7</v>
      </c>
      <c r="B45" s="84"/>
      <c r="C45" s="84"/>
    </row>
    <row r="46">
      <c r="A46" s="84" t="s">
        <v>17</v>
      </c>
      <c r="B46" s="84"/>
      <c r="C46" s="84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E52" s="1"/>
      <c r="F52" s="1"/>
      <c r="M52" s="1"/>
      <c r="N52" s="1"/>
      <c r="O52" s="1"/>
      <c r="V52" s="1"/>
      <c r="W52" s="1"/>
      <c r="AD52" s="1"/>
      <c r="AE52" s="1"/>
      <c r="AF52" s="1"/>
      <c r="AL52" s="1"/>
      <c r="AM52" s="1"/>
      <c r="AN52" s="1"/>
    </row>
  </sheetData>
  <mergeCells count="19">
    <mergeCell ref="A37:C37"/>
    <mergeCell ref="A38:C44"/>
    <mergeCell ref="A52:D52"/>
    <mergeCell ref="F52:L52"/>
    <mergeCell ref="O52:U52"/>
    <mergeCell ref="W52:AC52"/>
    <mergeCell ref="AF52:AK52"/>
    <mergeCell ref="P38:R38"/>
    <mergeCell ref="AF38:AH38"/>
    <mergeCell ref="H40:K40"/>
    <mergeCell ref="X40:AB40"/>
    <mergeCell ref="AF40:AJ40"/>
    <mergeCell ref="A2:E2"/>
    <mergeCell ref="H2:N2"/>
    <mergeCell ref="P2:V2"/>
    <mergeCell ref="X2:AE2"/>
    <mergeCell ref="AF2:AK2"/>
    <mergeCell ref="H36:J36"/>
    <mergeCell ref="X36:Z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6" max="16" width="53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0</v>
      </c>
      <c r="F2" s="1"/>
      <c r="G2" s="1"/>
      <c r="H2" s="2" t="s">
        <v>1</v>
      </c>
      <c r="O2" s="1"/>
      <c r="P2" s="2" t="s">
        <v>2</v>
      </c>
      <c r="W2" s="1"/>
      <c r="X2" s="2" t="s">
        <v>3</v>
      </c>
      <c r="AF2" s="2" t="s">
        <v>4</v>
      </c>
      <c r="AL2" s="1"/>
      <c r="AM2" s="1"/>
      <c r="A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73">
        <v>1.0</v>
      </c>
      <c r="B5" s="4" t="s">
        <v>47</v>
      </c>
      <c r="C5" s="1"/>
      <c r="D5" s="1"/>
      <c r="E5" s="1"/>
      <c r="F5" s="1"/>
      <c r="G5" s="1"/>
      <c r="H5" s="73">
        <v>1.0</v>
      </c>
      <c r="I5" s="4" t="s">
        <v>47</v>
      </c>
      <c r="J5" s="1"/>
      <c r="K5" s="1"/>
      <c r="L5" s="1"/>
      <c r="M5" s="1"/>
      <c r="N5" s="1"/>
      <c r="O5" s="1"/>
      <c r="P5" s="73">
        <v>1.0</v>
      </c>
      <c r="Q5" s="4" t="s">
        <v>47</v>
      </c>
      <c r="R5" s="1"/>
      <c r="S5" s="1"/>
      <c r="T5" s="1"/>
      <c r="U5" s="1"/>
      <c r="V5" s="1"/>
      <c r="W5" s="1"/>
      <c r="X5" s="73">
        <v>1.0</v>
      </c>
      <c r="Y5" s="4" t="s">
        <v>47</v>
      </c>
      <c r="Z5" s="1"/>
      <c r="AA5" s="1"/>
      <c r="AB5" s="1"/>
      <c r="AC5" s="1"/>
      <c r="AD5" s="1"/>
      <c r="AE5" s="1"/>
      <c r="AF5" s="73">
        <v>1.0</v>
      </c>
      <c r="AG5" s="74" t="s">
        <v>47</v>
      </c>
      <c r="AH5" s="1"/>
      <c r="AI5" s="1"/>
      <c r="AJ5" s="1"/>
      <c r="AK5" s="1"/>
      <c r="AL5" s="1"/>
      <c r="AM5" s="1"/>
      <c r="AN5" s="1"/>
    </row>
    <row r="6">
      <c r="A6" s="1"/>
      <c r="B6" s="5" t="s">
        <v>6</v>
      </c>
      <c r="C6" s="6">
        <v>2024.0</v>
      </c>
      <c r="D6" s="6">
        <v>2023.0</v>
      </c>
      <c r="E6" s="6">
        <v>2022.0</v>
      </c>
      <c r="H6" s="1"/>
      <c r="I6" s="5" t="s">
        <v>6</v>
      </c>
      <c r="J6" s="6">
        <v>2024.0</v>
      </c>
      <c r="K6" s="6">
        <v>2023.0</v>
      </c>
      <c r="L6" s="6">
        <v>2022.0</v>
      </c>
      <c r="O6" s="1"/>
      <c r="P6" s="1"/>
      <c r="Q6" s="5" t="s">
        <v>6</v>
      </c>
      <c r="R6" s="6">
        <v>2024.0</v>
      </c>
      <c r="S6" s="6">
        <v>2023.0</v>
      </c>
      <c r="T6" s="6">
        <v>2022.0</v>
      </c>
      <c r="V6" s="1"/>
      <c r="W6" s="1"/>
      <c r="X6" s="1"/>
      <c r="Y6" s="5" t="s">
        <v>6</v>
      </c>
      <c r="Z6" s="6">
        <v>2024.0</v>
      </c>
      <c r="AA6" s="6">
        <v>2023.0</v>
      </c>
      <c r="AB6" s="6">
        <v>2022.0</v>
      </c>
      <c r="AE6" s="1"/>
      <c r="AF6" s="1"/>
      <c r="AG6" s="5" t="s">
        <v>6</v>
      </c>
      <c r="AH6" s="6">
        <v>2024.0</v>
      </c>
      <c r="AI6" s="6">
        <v>2023.0</v>
      </c>
      <c r="AJ6" s="6">
        <v>2022.0</v>
      </c>
      <c r="AM6" s="1"/>
      <c r="AN6" s="1"/>
    </row>
    <row r="7">
      <c r="A7" s="16">
        <v>1.0</v>
      </c>
      <c r="B7" s="9" t="s">
        <v>7</v>
      </c>
      <c r="C7" s="60">
        <f>'Net Debt   EBITDA'!D2</f>
        <v>0.5694744581</v>
      </c>
      <c r="D7" s="51">
        <f>'Net Debt   EBITDA'!C2</f>
        <v>0.6447544111</v>
      </c>
      <c r="E7" s="51">
        <f>'Net Debt   EBITDA'!B2</f>
        <v>0.833715078</v>
      </c>
      <c r="H7" s="16">
        <v>1.0</v>
      </c>
      <c r="I7" s="13" t="s">
        <v>8</v>
      </c>
      <c r="J7" s="67">
        <f>'Net Debt   EBITDA'!D5</f>
        <v>0.4209586884</v>
      </c>
      <c r="K7" s="50">
        <f>'Net Debt   EBITDA'!C5</f>
        <v>0.6960023266</v>
      </c>
      <c r="L7" s="50">
        <f>'Net Debt   EBITDA'!B5</f>
        <v>2.248383396</v>
      </c>
      <c r="O7" s="1"/>
      <c r="P7" s="16">
        <v>1.0</v>
      </c>
      <c r="Q7" s="13" t="s">
        <v>9</v>
      </c>
      <c r="R7" s="68">
        <f>'Net Debt   EBITDA'!D11</f>
        <v>-0.006588179683</v>
      </c>
      <c r="S7" s="85">
        <f>'Net Debt   EBITDA'!C11</f>
        <v>0.03136642476</v>
      </c>
      <c r="T7" s="56">
        <f>'Net Debt   EBITDA'!B11</f>
        <v>0.09159229685</v>
      </c>
      <c r="W7" s="1"/>
      <c r="X7" s="16">
        <v>1.0</v>
      </c>
      <c r="Y7" s="13" t="s">
        <v>10</v>
      </c>
      <c r="Z7" s="67">
        <f>'Net Debt   EBITDA'!D4</f>
        <v>3.603324349</v>
      </c>
      <c r="AA7" s="51">
        <f>'Net Debt   EBITDA'!C4</f>
        <v>3.626038781</v>
      </c>
      <c r="AB7" s="51">
        <f>'Net Debt   EBITDA'!B4</f>
        <v>2.573424275</v>
      </c>
      <c r="AE7" s="1"/>
      <c r="AF7" s="16">
        <v>1.0</v>
      </c>
      <c r="AG7" s="13" t="s">
        <v>11</v>
      </c>
      <c r="AH7" s="68">
        <f>'Net Debt   EBITDA'!D9</f>
        <v>-0.1430100445</v>
      </c>
      <c r="AI7" s="56">
        <f>'Net Debt   EBITDA'!C9</f>
        <v>-0.4490861619</v>
      </c>
      <c r="AJ7" s="56">
        <f>'Net Debt   EBITDA'!B9</f>
        <v>-0.1175995151</v>
      </c>
      <c r="AM7" s="1"/>
      <c r="AN7" s="1"/>
    </row>
    <row r="8">
      <c r="A8" s="16">
        <v>2.0</v>
      </c>
      <c r="B8" s="9" t="s">
        <v>12</v>
      </c>
      <c r="C8" s="67">
        <f>'Net Debt   EBITDA'!D16</f>
        <v>0.3669826854</v>
      </c>
      <c r="D8" s="50">
        <f>'Net Debt   EBITDA'!C16</f>
        <v>0.2402606049</v>
      </c>
      <c r="E8" s="50">
        <f>'Net Debt   EBITDA'!B16</f>
        <v>0.4722612955</v>
      </c>
      <c r="H8" s="16">
        <v>2.0</v>
      </c>
      <c r="I8" s="13" t="s">
        <v>13</v>
      </c>
      <c r="J8" s="60">
        <f>'Net Debt   EBITDA'!D14</f>
        <v>1.311449907</v>
      </c>
      <c r="K8" s="51">
        <f>'Net Debt   EBITDA'!C14</f>
        <v>1.233673923</v>
      </c>
      <c r="L8" s="51">
        <f>'Net Debt   EBITDA'!B14</f>
        <v>2.658573596</v>
      </c>
      <c r="O8" s="1"/>
      <c r="P8" s="16">
        <v>2.0</v>
      </c>
      <c r="Q8" s="13" t="s">
        <v>14</v>
      </c>
      <c r="R8" s="86">
        <f>'Net Debt   EBITDA'!D15</f>
        <v>0.05952161702</v>
      </c>
      <c r="S8" s="56">
        <f>'Net Debt   EBITDA'!C15</f>
        <v>-0.07837160469</v>
      </c>
      <c r="T8" s="85">
        <f>'Net Debt   EBITDA'!B15</f>
        <v>0.3159989387</v>
      </c>
      <c r="W8" s="1"/>
      <c r="X8" s="16">
        <v>2.0</v>
      </c>
      <c r="Y8" s="13" t="s">
        <v>15</v>
      </c>
      <c r="Z8" s="86">
        <f>'Net Debt   EBITDA'!D20</f>
        <v>0.04065438135</v>
      </c>
      <c r="AA8" s="85">
        <f>'Net Debt   EBITDA'!C20</f>
        <v>-0.005774188737</v>
      </c>
      <c r="AB8" s="85">
        <f>'Net Debt   EBITDA'!B20</f>
        <v>-0.07690698912</v>
      </c>
      <c r="AE8" s="1"/>
      <c r="AF8" s="16">
        <v>2.0</v>
      </c>
      <c r="AG8" s="13" t="s">
        <v>16</v>
      </c>
      <c r="AH8" s="67">
        <f>'Net Debt   EBITDA'!D19</f>
        <v>2.184832134</v>
      </c>
      <c r="AI8" s="85">
        <f>'Net Debt   EBITDA'!C19</f>
        <v>2.218484194</v>
      </c>
      <c r="AJ8" s="85">
        <f>'Net Debt   EBITDA'!B19</f>
        <v>2.318413294</v>
      </c>
      <c r="AM8" s="1"/>
      <c r="AN8" s="1"/>
    </row>
    <row r="9">
      <c r="A9" s="16">
        <v>3.0</v>
      </c>
      <c r="B9" s="9" t="s">
        <v>17</v>
      </c>
      <c r="C9" s="68">
        <f>'Net Debt   EBITDA'!D6</f>
        <v>-0.7950037536</v>
      </c>
      <c r="D9" s="56">
        <f>'Net Debt   EBITDA'!C6</f>
        <v>-0.2378809142</v>
      </c>
      <c r="E9" s="56">
        <f>'Net Debt   EBITDA'!B6</f>
        <v>-0.4236180551</v>
      </c>
      <c r="H9" s="16">
        <v>3.0</v>
      </c>
      <c r="I9" s="13" t="s">
        <v>18</v>
      </c>
      <c r="J9" s="86">
        <f>'Net Debt   EBITDA'!D22</f>
        <v>-0.1710633669</v>
      </c>
      <c r="K9" s="85">
        <f>'Net Debt   EBITDA'!C22</f>
        <v>-0.4612733171</v>
      </c>
      <c r="L9" s="56">
        <f>'Net Debt   EBITDA'!B22</f>
        <v>-0.5949481792</v>
      </c>
      <c r="O9" s="1"/>
      <c r="P9" s="16">
        <v>3.0</v>
      </c>
      <c r="Q9" s="13" t="s">
        <v>19</v>
      </c>
      <c r="R9" s="67">
        <f>'Net Debt   EBITDA'!D17</f>
        <v>0.2955775758</v>
      </c>
      <c r="S9" s="50">
        <f>'Net Debt   EBITDA'!C17</f>
        <v>0.3452768448</v>
      </c>
      <c r="T9" s="50">
        <f>'Net Debt   EBITDA'!B17</f>
        <v>0.4527576046</v>
      </c>
      <c r="W9" s="1"/>
      <c r="X9" s="16">
        <v>3.0</v>
      </c>
      <c r="Y9" s="13" t="s">
        <v>20</v>
      </c>
      <c r="Z9" s="60">
        <f>'Net Debt   EBITDA'!D10</f>
        <v>3.770861525</v>
      </c>
      <c r="AA9" s="50">
        <f>'Net Debt   EBITDA'!C10</f>
        <v>1.800876524</v>
      </c>
      <c r="AB9" s="50">
        <f>'Net Debt   EBITDA'!B10</f>
        <v>2.238816087</v>
      </c>
      <c r="AE9" s="1"/>
      <c r="AF9" s="16">
        <v>3.0</v>
      </c>
      <c r="AG9" s="13" t="s">
        <v>21</v>
      </c>
      <c r="AH9" s="86">
        <f>'Net Debt   EBITDA'!D13</f>
        <v>2.108908438</v>
      </c>
      <c r="AI9" s="50">
        <f>'Net Debt   EBITDA'!C13</f>
        <v>2.372138653</v>
      </c>
      <c r="AJ9" s="65">
        <f>'Net Debt   EBITDA'!B13</f>
        <v>4.51900063</v>
      </c>
      <c r="AM9" s="1"/>
      <c r="AN9" s="1"/>
    </row>
    <row r="10">
      <c r="A10" s="16">
        <v>4.0</v>
      </c>
      <c r="B10" s="9" t="s">
        <v>22</v>
      </c>
      <c r="C10" s="86">
        <f>'Net Debt   EBITDA'!D3</f>
        <v>-0.306122449</v>
      </c>
      <c r="D10" s="85">
        <f>'Net Debt   EBITDA'!C3</f>
        <v>-0.229572945</v>
      </c>
      <c r="E10" s="85">
        <f>'Net Debt   EBITDA'!B3</f>
        <v>-0.3563426093</v>
      </c>
      <c r="H10" s="16">
        <v>4.0</v>
      </c>
      <c r="I10" s="13" t="s">
        <v>23</v>
      </c>
      <c r="J10" s="68">
        <f>'Net Debt   EBITDA'!D18</f>
        <v>-0.348501228</v>
      </c>
      <c r="K10" s="56">
        <f>'Net Debt   EBITDA'!C18</f>
        <v>-0.6723522238</v>
      </c>
      <c r="L10" s="85">
        <f>'Net Debt   EBITDA'!B18</f>
        <v>-0.4436049985</v>
      </c>
      <c r="O10" s="1"/>
      <c r="P10" s="16">
        <v>4.0</v>
      </c>
      <c r="Q10" s="13" t="s">
        <v>24</v>
      </c>
      <c r="R10" s="60">
        <f>'Net Debt   EBITDA'!D21</f>
        <v>3.496391985</v>
      </c>
      <c r="S10" s="51">
        <f>'Net Debt   EBITDA'!C21</f>
        <v>3.975802887</v>
      </c>
      <c r="T10" s="65">
        <f>'Net Debt   EBITDA'!B21</f>
        <v>5.321412628</v>
      </c>
      <c r="W10" s="1"/>
      <c r="X10" s="16">
        <v>4.0</v>
      </c>
      <c r="Y10" s="13" t="s">
        <v>25</v>
      </c>
      <c r="Z10" s="68">
        <f>'Net Debt   EBITDA'!D23</f>
        <v>-5.809788197</v>
      </c>
      <c r="AA10" s="56">
        <f>'Net Debt   EBITDA'!C23</f>
        <v>-2.076066186</v>
      </c>
      <c r="AB10" s="56">
        <f>'Net Debt   EBITDA'!B23</f>
        <v>-2.165325217</v>
      </c>
      <c r="AE10" s="1"/>
      <c r="AF10" s="16">
        <v>4.0</v>
      </c>
      <c r="AG10" s="13" t="s">
        <v>26</v>
      </c>
      <c r="AH10" s="87">
        <f>'Net Debt   EBITDA'!D12</f>
        <v>4.44825547</v>
      </c>
      <c r="AI10" s="65">
        <f>'Net Debt   EBITDA'!C12</f>
        <v>3.663981878</v>
      </c>
      <c r="AJ10" s="51">
        <f>'Net Debt   EBITDA'!B12</f>
        <v>4.18071131</v>
      </c>
      <c r="AM10" s="1"/>
      <c r="AN10" s="1"/>
    </row>
    <row r="11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O11" s="1"/>
      <c r="P11" s="16">
        <v>5.0</v>
      </c>
      <c r="Q11" s="13" t="s">
        <v>27</v>
      </c>
      <c r="R11" s="65">
        <f>'Net Debt   EBITDA'!D8</f>
        <v>4.452625677</v>
      </c>
      <c r="S11" s="65">
        <f>'Net Debt   EBITDA'!C8</f>
        <v>4.701176584</v>
      </c>
      <c r="T11" s="51">
        <f>'Net Debt   EBITDA'!B8</f>
        <v>4.634482099</v>
      </c>
      <c r="W11" s="1"/>
      <c r="X11" s="1"/>
      <c r="Y11" s="1"/>
      <c r="Z11" s="1"/>
      <c r="AA11" s="1"/>
      <c r="AB11" s="1"/>
      <c r="AC11" s="1"/>
      <c r="AE11" s="1"/>
      <c r="AF11" s="16">
        <v>5.0</v>
      </c>
      <c r="AG11" s="13" t="s">
        <v>28</v>
      </c>
      <c r="AH11" s="51">
        <f>'Net Debt   EBITDA'!D7</f>
        <v>3.139826422</v>
      </c>
      <c r="AI11" s="51">
        <f>'Net Debt   EBITDA'!C7</f>
        <v>3.160278746</v>
      </c>
      <c r="AJ11" s="50">
        <f>'Net Debt   EBITDA'!B7</f>
        <v>3.584327087</v>
      </c>
    </row>
    <row r="12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73">
        <v>2.0</v>
      </c>
      <c r="B13" s="74" t="s">
        <v>48</v>
      </c>
      <c r="C13" s="3"/>
      <c r="D13" s="3"/>
      <c r="E13" s="3"/>
      <c r="G13" s="1"/>
      <c r="H13" s="73">
        <v>2.0</v>
      </c>
      <c r="I13" s="74" t="s">
        <v>48</v>
      </c>
      <c r="J13" s="1"/>
      <c r="K13" s="1"/>
      <c r="L13" s="1"/>
      <c r="M13" s="1"/>
      <c r="N13" s="1"/>
      <c r="O13" s="1"/>
      <c r="P13" s="3"/>
      <c r="Q13" s="3"/>
      <c r="R13" s="1"/>
      <c r="S13" s="1"/>
      <c r="T13" s="1"/>
      <c r="U13" s="1"/>
      <c r="V13" s="1"/>
      <c r="W13" s="1"/>
      <c r="X13" s="73">
        <v>2.0</v>
      </c>
      <c r="Y13" s="74" t="s">
        <v>48</v>
      </c>
      <c r="Z13" s="1"/>
      <c r="AA13" s="1"/>
      <c r="AB13" s="1"/>
      <c r="AC13" s="1"/>
      <c r="AD13" s="1"/>
      <c r="AE13" s="1"/>
      <c r="AF13" s="3"/>
      <c r="AG13" s="3"/>
      <c r="AH13" s="1"/>
      <c r="AI13" s="1"/>
      <c r="AJ13" s="1"/>
      <c r="AK13" s="1"/>
    </row>
    <row r="14">
      <c r="A14" s="1"/>
      <c r="B14" s="5" t="s">
        <v>6</v>
      </c>
      <c r="C14" s="6">
        <v>2024.0</v>
      </c>
      <c r="D14" s="6">
        <v>2023.0</v>
      </c>
      <c r="E14" s="6">
        <v>2022.0</v>
      </c>
      <c r="G14" s="1"/>
      <c r="H14" s="1"/>
      <c r="I14" s="5" t="s">
        <v>6</v>
      </c>
      <c r="J14" s="6">
        <v>2024.0</v>
      </c>
      <c r="K14" s="6">
        <v>2023.0</v>
      </c>
      <c r="L14" s="6">
        <v>2022.0</v>
      </c>
      <c r="M14" s="1"/>
      <c r="O14" s="1"/>
      <c r="P14" s="73">
        <v>2.0</v>
      </c>
      <c r="Q14" s="74" t="s">
        <v>48</v>
      </c>
      <c r="R14" s="1"/>
      <c r="S14" s="1"/>
      <c r="T14" s="1"/>
      <c r="U14" s="1"/>
      <c r="V14" s="1"/>
      <c r="W14" s="1"/>
      <c r="X14" s="1"/>
      <c r="Y14" s="5" t="s">
        <v>6</v>
      </c>
      <c r="Z14" s="6">
        <v>2024.0</v>
      </c>
      <c r="AA14" s="6">
        <v>2023.0</v>
      </c>
      <c r="AB14" s="6">
        <v>2022.0</v>
      </c>
      <c r="AC14" s="1"/>
      <c r="AE14" s="1"/>
      <c r="AF14" s="73">
        <v>2.0</v>
      </c>
      <c r="AG14" s="74" t="s">
        <v>48</v>
      </c>
      <c r="AH14" s="1"/>
      <c r="AI14" s="1"/>
      <c r="AJ14" s="1"/>
      <c r="AK14" s="1"/>
    </row>
    <row r="15">
      <c r="A15" s="16">
        <v>1.0</v>
      </c>
      <c r="B15" s="9" t="s">
        <v>7</v>
      </c>
      <c r="C15" s="60">
        <f>'Current Ratio'!D2</f>
        <v>0.8673125765</v>
      </c>
      <c r="D15" s="51">
        <f>'Current Ratio'!C2</f>
        <v>0.9880116718</v>
      </c>
      <c r="E15" s="51">
        <f>'Current Ratio'!B2</f>
        <v>0.8793560286</v>
      </c>
      <c r="G15" s="1"/>
      <c r="H15" s="16">
        <v>1.0</v>
      </c>
      <c r="I15" s="13" t="s">
        <v>8</v>
      </c>
      <c r="J15" s="60">
        <f>'Current Ratio'!D5</f>
        <v>1.063734806</v>
      </c>
      <c r="K15" s="51">
        <f>'Current Ratio'!C5</f>
        <v>1.045077221</v>
      </c>
      <c r="L15" s="51">
        <f>'Current Ratio'!B5</f>
        <v>0.9446435811</v>
      </c>
      <c r="M15" s="1"/>
      <c r="O15" s="1"/>
      <c r="P15" s="1"/>
      <c r="Q15" s="5" t="s">
        <v>6</v>
      </c>
      <c r="R15" s="6">
        <v>2024.0</v>
      </c>
      <c r="S15" s="6">
        <v>2023.0</v>
      </c>
      <c r="T15" s="6">
        <v>2022.0</v>
      </c>
      <c r="U15" s="1"/>
      <c r="W15" s="1"/>
      <c r="X15" s="16">
        <v>1.0</v>
      </c>
      <c r="Y15" s="13" t="s">
        <v>10</v>
      </c>
      <c r="Z15" s="60">
        <f>'Current Ratio'!D4</f>
        <v>1.256764362</v>
      </c>
      <c r="AA15" s="50">
        <f>'Current Ratio'!C4</f>
        <v>1.649195302</v>
      </c>
      <c r="AB15" s="50">
        <f>'Current Ratio'!B4</f>
        <v>1.414292089</v>
      </c>
      <c r="AC15" s="1"/>
      <c r="AE15" s="1"/>
      <c r="AF15" s="1"/>
      <c r="AG15" s="5" t="s">
        <v>6</v>
      </c>
      <c r="AH15" s="6">
        <v>2024.0</v>
      </c>
      <c r="AI15" s="6">
        <v>2023.0</v>
      </c>
      <c r="AJ15" s="6">
        <v>2022.0</v>
      </c>
      <c r="AK15" s="1"/>
      <c r="AL15" s="1"/>
      <c r="AM15" s="1"/>
      <c r="AN15" s="1"/>
    </row>
    <row r="16">
      <c r="A16" s="16">
        <v>2.0</v>
      </c>
      <c r="B16" s="9" t="s">
        <v>12</v>
      </c>
      <c r="C16" s="88">
        <f>'Current Ratio'!D16</f>
        <v>1.274954903</v>
      </c>
      <c r="D16" s="48">
        <f>'Current Ratio'!C16</f>
        <v>1.769167251</v>
      </c>
      <c r="E16" s="48">
        <f>'Current Ratio'!B16</f>
        <v>1.784606971</v>
      </c>
      <c r="G16" s="1"/>
      <c r="H16" s="16">
        <v>2.0</v>
      </c>
      <c r="I16" s="13" t="s">
        <v>13</v>
      </c>
      <c r="J16" s="67">
        <f>'Current Ratio'!D14</f>
        <v>1.213154249</v>
      </c>
      <c r="K16" s="50">
        <f>'Current Ratio'!C14</f>
        <v>1.266092515</v>
      </c>
      <c r="L16" s="50">
        <f>'Current Ratio'!B14</f>
        <v>1.279257183</v>
      </c>
      <c r="M16" s="1"/>
      <c r="O16" s="1"/>
      <c r="P16" s="16">
        <v>1.0</v>
      </c>
      <c r="Q16" s="13" t="s">
        <v>9</v>
      </c>
      <c r="R16" s="58">
        <f>'Current Ratio'!D11</f>
        <v>1.836931397</v>
      </c>
      <c r="S16" s="48">
        <f>'Current Ratio'!C11</f>
        <v>2.096584937</v>
      </c>
      <c r="T16" s="56">
        <f>'Current Ratio'!B11</f>
        <v>2.377994228</v>
      </c>
      <c r="U16" s="1"/>
      <c r="W16" s="1"/>
      <c r="X16" s="16">
        <v>2.0</v>
      </c>
      <c r="Y16" s="13" t="s">
        <v>15</v>
      </c>
      <c r="Z16" s="68">
        <f>'Current Ratio'!D20</f>
        <v>4.731105646</v>
      </c>
      <c r="AA16" s="56">
        <f>'Current Ratio'!C20</f>
        <v>5.690015774</v>
      </c>
      <c r="AB16" s="56">
        <f>'Current Ratio'!B20</f>
        <v>5.056537102</v>
      </c>
      <c r="AC16" s="1"/>
      <c r="AE16" s="1"/>
      <c r="AF16" s="16">
        <v>1.0</v>
      </c>
      <c r="AG16" s="13" t="s">
        <v>11</v>
      </c>
      <c r="AH16" s="68">
        <f>'Current Ratio'!D9</f>
        <v>0.9656553124</v>
      </c>
      <c r="AI16" s="56">
        <f>'Current Ratio'!C9</f>
        <v>1.068367924</v>
      </c>
      <c r="AJ16" s="56">
        <f>'Current Ratio'!B9</f>
        <v>1.021813863</v>
      </c>
      <c r="AK16" s="1"/>
      <c r="AL16" s="1"/>
      <c r="AM16" s="1"/>
      <c r="AN16" s="1"/>
    </row>
    <row r="17">
      <c r="A17" s="16">
        <v>3.0</v>
      </c>
      <c r="B17" s="9" t="s">
        <v>17</v>
      </c>
      <c r="C17" s="58">
        <f>'Current Ratio'!D6</f>
        <v>1.532930369</v>
      </c>
      <c r="D17" s="50">
        <f>'Current Ratio'!C6</f>
        <v>1.498884772</v>
      </c>
      <c r="E17" s="50">
        <f>'Current Ratio'!B6</f>
        <v>1.282551881</v>
      </c>
      <c r="G17" s="1"/>
      <c r="H17" s="16">
        <v>3.0</v>
      </c>
      <c r="I17" s="13" t="s">
        <v>18</v>
      </c>
      <c r="J17" s="58">
        <f>'Current Ratio'!D22</f>
        <v>2.02491239</v>
      </c>
      <c r="K17" s="48">
        <f>'Current Ratio'!C22</f>
        <v>1.725893975</v>
      </c>
      <c r="L17" s="48">
        <f>'Current Ratio'!B22</f>
        <v>1.531955521</v>
      </c>
      <c r="M17" s="1"/>
      <c r="O17" s="1"/>
      <c r="P17" s="16">
        <v>2.0</v>
      </c>
      <c r="Q17" s="13" t="s">
        <v>14</v>
      </c>
      <c r="R17" s="68">
        <f>'Current Ratio'!D15</f>
        <v>2.977884272</v>
      </c>
      <c r="S17" s="56">
        <f>'Current Ratio'!C15</f>
        <v>2.670994994</v>
      </c>
      <c r="T17" s="48">
        <f>'Current Ratio'!B15</f>
        <v>2.203396729</v>
      </c>
      <c r="U17" s="1"/>
      <c r="W17" s="1"/>
      <c r="X17" s="16">
        <v>3.0</v>
      </c>
      <c r="Y17" s="13" t="s">
        <v>20</v>
      </c>
      <c r="Z17" s="67">
        <f>'Current Ratio'!D10</f>
        <v>1.597217594</v>
      </c>
      <c r="AA17" s="51">
        <f>'Current Ratio'!C10</f>
        <v>1.425975177</v>
      </c>
      <c r="AB17" s="51">
        <f>'Current Ratio'!B10</f>
        <v>1.285193095</v>
      </c>
      <c r="AC17" s="1"/>
      <c r="AE17" s="1"/>
      <c r="AF17" s="16">
        <v>2.0</v>
      </c>
      <c r="AG17" s="13" t="s">
        <v>16</v>
      </c>
      <c r="AH17" s="58">
        <f>'Current Ratio'!D19</f>
        <v>0.8189370878</v>
      </c>
      <c r="AI17" s="50">
        <f>'Current Ratio'!C19</f>
        <v>0.8515815085</v>
      </c>
      <c r="AJ17" s="50">
        <f>'Current Ratio'!B19</f>
        <v>0.8041441105</v>
      </c>
      <c r="AK17" s="1"/>
      <c r="AL17" s="1"/>
      <c r="AM17" s="1"/>
      <c r="AN17" s="1"/>
    </row>
    <row r="18">
      <c r="A18" s="16">
        <v>4.0</v>
      </c>
      <c r="B18" s="9" t="s">
        <v>22</v>
      </c>
      <c r="C18" s="68">
        <f>'Current Ratio'!D3</f>
        <v>2.616261503</v>
      </c>
      <c r="D18" s="56">
        <f>'Current Ratio'!C3</f>
        <v>2.506802213</v>
      </c>
      <c r="E18" s="56">
        <f>'Current Ratio'!B3</f>
        <v>2.358140995</v>
      </c>
      <c r="G18" s="1"/>
      <c r="H18" s="16">
        <v>4.0</v>
      </c>
      <c r="I18" s="13" t="s">
        <v>23</v>
      </c>
      <c r="J18" s="68">
        <f>'Current Ratio'!D18</f>
        <v>2.205933226</v>
      </c>
      <c r="K18" s="56">
        <f>'Current Ratio'!C18</f>
        <v>1.92772227</v>
      </c>
      <c r="L18" s="56">
        <f>'Current Ratio'!B18</f>
        <v>1.853185385</v>
      </c>
      <c r="M18" s="1"/>
      <c r="O18" s="1"/>
      <c r="P18" s="16">
        <v>3.0</v>
      </c>
      <c r="Q18" s="13" t="s">
        <v>19</v>
      </c>
      <c r="R18" s="67">
        <f>'Current Ratio'!D17</f>
        <v>1.21802806</v>
      </c>
      <c r="S18" s="50">
        <f>'Current Ratio'!C17</f>
        <v>1.119345353</v>
      </c>
      <c r="T18" s="50">
        <f>'Current Ratio'!B17</f>
        <v>1.168390289</v>
      </c>
      <c r="U18" s="1"/>
      <c r="W18" s="1"/>
      <c r="X18" s="16">
        <v>4.0</v>
      </c>
      <c r="Y18" s="13" t="s">
        <v>25</v>
      </c>
      <c r="Z18" s="58">
        <f>'Current Ratio'!D23</f>
        <v>2.69213937</v>
      </c>
      <c r="AA18" s="48">
        <f>'Current Ratio'!C23</f>
        <v>3.987201894</v>
      </c>
      <c r="AB18" s="48">
        <f>'Current Ratio'!B23</f>
        <v>4.826519821</v>
      </c>
      <c r="AC18" s="1"/>
      <c r="AE18" s="1"/>
      <c r="AF18" s="16">
        <v>3.0</v>
      </c>
      <c r="AG18" s="13" t="s">
        <v>21</v>
      </c>
      <c r="AH18" s="60">
        <f>'Current Ratio'!D13</f>
        <v>0.6773748018</v>
      </c>
      <c r="AI18" s="51">
        <f>'Current Ratio'!C13</f>
        <v>0.6155262189</v>
      </c>
      <c r="AJ18" s="51">
        <f>'Current Ratio'!B13</f>
        <v>0.6031319108</v>
      </c>
      <c r="AK18" s="1"/>
      <c r="AL18" s="1"/>
      <c r="AM18" s="1"/>
      <c r="AN18" s="1"/>
    </row>
    <row r="19">
      <c r="A19" s="1"/>
      <c r="B19" s="1"/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6">
        <v>4.0</v>
      </c>
      <c r="Q19" s="13" t="s">
        <v>24</v>
      </c>
      <c r="R19" s="60">
        <f>'Current Ratio'!D21</f>
        <v>0.9122633092</v>
      </c>
      <c r="S19" s="51">
        <f>'Current Ratio'!C21</f>
        <v>0.9085913609</v>
      </c>
      <c r="T19" s="51">
        <f>'Current Ratio'!B21</f>
        <v>0.7706329319</v>
      </c>
      <c r="U19" s="1"/>
      <c r="W19" s="1"/>
      <c r="X19" s="1"/>
      <c r="Y19" s="1"/>
      <c r="Z19" s="1"/>
      <c r="AA19" s="1"/>
      <c r="AB19" s="1"/>
      <c r="AC19" s="1"/>
      <c r="AD19" s="1"/>
      <c r="AE19" s="1"/>
      <c r="AF19" s="16">
        <v>4.0</v>
      </c>
      <c r="AG19" s="13" t="s">
        <v>26</v>
      </c>
      <c r="AH19" s="89">
        <f>'Current Ratio'!D12</f>
        <v>0.4942500309</v>
      </c>
      <c r="AI19" s="90">
        <f>'Current Ratio'!C12</f>
        <v>0.3785329744</v>
      </c>
      <c r="AJ19" s="90">
        <f>'Current Ratio'!B12</f>
        <v>0.47102526</v>
      </c>
      <c r="AK19" s="1"/>
    </row>
    <row r="20">
      <c r="A20" s="1"/>
      <c r="B20" s="1"/>
      <c r="C20" s="3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6">
        <v>5.0</v>
      </c>
      <c r="Q20" s="13" t="s">
        <v>27</v>
      </c>
      <c r="R20" s="59">
        <f>'Current Ratio'!D8</f>
        <v>0.3138810618</v>
      </c>
      <c r="S20" s="59">
        <f>'Current Ratio'!C8</f>
        <v>0.3126986529</v>
      </c>
      <c r="T20" s="59">
        <f>'Current Ratio'!B8</f>
        <v>0.3329465396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6">
        <v>5.0</v>
      </c>
      <c r="AG20" s="13" t="s">
        <v>28</v>
      </c>
      <c r="AH20" s="50">
        <f>'Current Ratio'!D7</f>
        <v>0.8145784759</v>
      </c>
      <c r="AI20" s="48">
        <f>'Current Ratio'!C7</f>
        <v>0.9075295411</v>
      </c>
      <c r="AJ20" s="48">
        <f>'Current Ratio'!B7</f>
        <v>0.8947080542</v>
      </c>
      <c r="AK20" s="1"/>
    </row>
    <row r="21">
      <c r="A21" s="73">
        <v>3.0</v>
      </c>
      <c r="B21" s="74" t="s">
        <v>49</v>
      </c>
      <c r="C21" s="3"/>
      <c r="D21" s="3"/>
      <c r="E21" s="3"/>
      <c r="F21" s="1"/>
      <c r="G21" s="1"/>
      <c r="H21" s="73">
        <v>3.0</v>
      </c>
      <c r="I21" s="74" t="s">
        <v>49</v>
      </c>
      <c r="J21" s="1"/>
      <c r="K21" s="1"/>
      <c r="L21" s="1"/>
      <c r="M21" s="1"/>
      <c r="N21" s="1"/>
      <c r="O21" s="1"/>
      <c r="P21" s="3"/>
      <c r="Q21" s="3"/>
      <c r="R21" s="1"/>
      <c r="S21" s="1"/>
      <c r="T21" s="1"/>
      <c r="V21" s="1"/>
      <c r="W21" s="1"/>
      <c r="X21" s="73">
        <v>3.0</v>
      </c>
      <c r="Y21" s="74" t="s">
        <v>49</v>
      </c>
      <c r="Z21" s="1"/>
      <c r="AA21" s="1"/>
      <c r="AB21" s="1"/>
      <c r="AC21" s="1"/>
      <c r="AD21" s="1"/>
      <c r="AE21" s="1"/>
      <c r="AF21" s="3"/>
      <c r="AG21" s="3"/>
      <c r="AH21" s="1"/>
      <c r="AI21" s="1"/>
      <c r="AJ21" s="1"/>
      <c r="AK21" s="1"/>
    </row>
    <row r="22">
      <c r="A22" s="1"/>
      <c r="B22" s="5" t="s">
        <v>6</v>
      </c>
      <c r="C22" s="6">
        <v>2024.0</v>
      </c>
      <c r="D22" s="6">
        <v>2023.0</v>
      </c>
      <c r="E22" s="6">
        <v>2022.0</v>
      </c>
      <c r="G22" s="1"/>
      <c r="H22" s="1"/>
      <c r="I22" s="5" t="s">
        <v>6</v>
      </c>
      <c r="J22" s="6">
        <v>2024.0</v>
      </c>
      <c r="K22" s="6">
        <v>2023.0</v>
      </c>
      <c r="L22" s="6">
        <v>2022.0</v>
      </c>
      <c r="O22" s="1"/>
      <c r="P22" s="1"/>
      <c r="Q22" s="5"/>
      <c r="R22" s="91"/>
      <c r="S22" s="91"/>
      <c r="T22" s="91"/>
      <c r="V22" s="1"/>
      <c r="W22" s="1"/>
      <c r="X22" s="1"/>
      <c r="Y22" s="5" t="s">
        <v>6</v>
      </c>
      <c r="Z22" s="6">
        <v>2024.0</v>
      </c>
      <c r="AA22" s="6">
        <v>2023.0</v>
      </c>
      <c r="AB22" s="6">
        <v>2022.0</v>
      </c>
      <c r="AD22" s="1"/>
      <c r="AE22" s="1"/>
      <c r="AF22" s="1"/>
      <c r="AG22" s="5"/>
      <c r="AH22" s="91"/>
      <c r="AI22" s="91"/>
      <c r="AJ22" s="91"/>
    </row>
    <row r="23">
      <c r="A23" s="16">
        <v>1.0</v>
      </c>
      <c r="B23" s="9" t="s">
        <v>7</v>
      </c>
      <c r="C23" s="60">
        <f>'Quick Ratio'!D2</f>
        <v>0.8260068484</v>
      </c>
      <c r="D23" s="51">
        <f>'Quick Ratio'!C2</f>
        <v>0.9444421505</v>
      </c>
      <c r="E23" s="51">
        <f>'Quick Ratio'!B2</f>
        <v>0.8472353911</v>
      </c>
      <c r="G23" s="1"/>
      <c r="H23" s="16">
        <v>1.0</v>
      </c>
      <c r="I23" s="13" t="s">
        <v>8</v>
      </c>
      <c r="J23" s="60">
        <f>'Quick Ratio'!D5</f>
        <v>0.873054266</v>
      </c>
      <c r="K23" s="51">
        <f>'Quick Ratio'!C5</f>
        <v>0.8430483213</v>
      </c>
      <c r="L23" s="51">
        <f>'Quick Ratio'!B5</f>
        <v>0.7232372115</v>
      </c>
      <c r="O23" s="1"/>
      <c r="P23" s="73">
        <v>3.0</v>
      </c>
      <c r="Q23" s="74" t="s">
        <v>49</v>
      </c>
      <c r="R23" s="1"/>
      <c r="S23" s="1"/>
      <c r="T23" s="1"/>
      <c r="V23" s="1"/>
      <c r="W23" s="1"/>
      <c r="X23" s="16">
        <v>1.0</v>
      </c>
      <c r="Y23" s="13" t="s">
        <v>10</v>
      </c>
      <c r="Z23" s="60">
        <f>'Quick Ratio'!D4</f>
        <v>0.9538075241</v>
      </c>
      <c r="AA23" s="51">
        <f>'Quick Ratio'!C4</f>
        <v>1.13168769</v>
      </c>
      <c r="AB23" s="51">
        <f>'Quick Ratio'!B4</f>
        <v>1.100019124</v>
      </c>
      <c r="AD23" s="1"/>
      <c r="AE23" s="1"/>
      <c r="AF23" s="73">
        <v>3.0</v>
      </c>
      <c r="AG23" s="74" t="s">
        <v>49</v>
      </c>
      <c r="AH23" s="1"/>
      <c r="AI23" s="1"/>
      <c r="AJ23" s="1"/>
    </row>
    <row r="24">
      <c r="A24" s="16">
        <v>2.0</v>
      </c>
      <c r="B24" s="9" t="s">
        <v>12</v>
      </c>
      <c r="C24" s="58">
        <f>'Quick Ratio'!D16</f>
        <v>1.265009658</v>
      </c>
      <c r="D24" s="48">
        <f>'Quick Ratio'!C16</f>
        <v>1.74516318</v>
      </c>
      <c r="E24" s="48">
        <f>'Quick Ratio'!B16</f>
        <v>1.745251467</v>
      </c>
      <c r="G24" s="1"/>
      <c r="H24" s="16">
        <v>2.0</v>
      </c>
      <c r="I24" s="13" t="s">
        <v>13</v>
      </c>
      <c r="J24" s="67">
        <f>'Quick Ratio'!D14</f>
        <v>1.195326146</v>
      </c>
      <c r="K24" s="50">
        <f>'Quick Ratio'!C14</f>
        <v>1.244961378</v>
      </c>
      <c r="L24" s="48">
        <f>'Quick Ratio'!B14</f>
        <v>1.261504321</v>
      </c>
      <c r="O24" s="1"/>
      <c r="P24" s="1"/>
      <c r="Q24" s="5" t="s">
        <v>6</v>
      </c>
      <c r="R24" s="6">
        <v>2024.0</v>
      </c>
      <c r="S24" s="6">
        <v>2023.0</v>
      </c>
      <c r="T24" s="6">
        <v>2022.0</v>
      </c>
      <c r="V24" s="1"/>
      <c r="W24" s="1"/>
      <c r="X24" s="16">
        <v>2.0</v>
      </c>
      <c r="Y24" s="13" t="s">
        <v>15</v>
      </c>
      <c r="Z24" s="68">
        <f>'Quick Ratio'!D20</f>
        <v>3.948381208</v>
      </c>
      <c r="AA24" s="56">
        <f>'Quick Ratio'!C20</f>
        <v>4.936232985</v>
      </c>
      <c r="AB24" s="48">
        <f>'Quick Ratio'!B20</f>
        <v>4.291917359</v>
      </c>
      <c r="AD24" s="1"/>
      <c r="AE24" s="1"/>
      <c r="AF24" s="1"/>
      <c r="AG24" s="5" t="s">
        <v>6</v>
      </c>
      <c r="AH24" s="6">
        <v>2024.0</v>
      </c>
      <c r="AI24" s="6">
        <v>2023.0</v>
      </c>
      <c r="AJ24" s="6">
        <v>2022.0</v>
      </c>
      <c r="AL24" s="1"/>
      <c r="AM24" s="1"/>
      <c r="AN24" s="1"/>
    </row>
    <row r="25">
      <c r="A25" s="16">
        <v>3.0</v>
      </c>
      <c r="B25" s="9" t="s">
        <v>17</v>
      </c>
      <c r="C25" s="67">
        <f>'Quick Ratio'!D6</f>
        <v>0.9897513391</v>
      </c>
      <c r="D25" s="50">
        <f>'Quick Ratio'!C6</f>
        <v>0.9550529349</v>
      </c>
      <c r="E25" s="50">
        <f>'Quick Ratio'!B6</f>
        <v>0.8822037857</v>
      </c>
      <c r="G25" s="1"/>
      <c r="H25" s="16">
        <v>3.0</v>
      </c>
      <c r="I25" s="13" t="s">
        <v>18</v>
      </c>
      <c r="J25" s="58">
        <f>'Quick Ratio'!D22</f>
        <v>1.607959474</v>
      </c>
      <c r="K25" s="48">
        <f>'Quick Ratio'!C22</f>
        <v>1.251913177</v>
      </c>
      <c r="L25" s="50">
        <f>'Quick Ratio'!B22</f>
        <v>1.051256131</v>
      </c>
      <c r="O25" s="1"/>
      <c r="P25" s="16">
        <v>1.0</v>
      </c>
      <c r="Q25" s="13" t="s">
        <v>9</v>
      </c>
      <c r="R25" s="58">
        <f>'Quick Ratio'!D11</f>
        <v>1.806972465</v>
      </c>
      <c r="S25" s="48">
        <f>'Quick Ratio'!C11</f>
        <v>2.063949935</v>
      </c>
      <c r="T25" s="56">
        <f>'Quick Ratio'!B11</f>
        <v>2.339466089</v>
      </c>
      <c r="V25" s="1"/>
      <c r="W25" s="1"/>
      <c r="X25" s="16">
        <v>3.0</v>
      </c>
      <c r="Y25" s="13" t="s">
        <v>20</v>
      </c>
      <c r="Z25" s="67">
        <f>'Quick Ratio'!D10</f>
        <v>1.454765078</v>
      </c>
      <c r="AA25" s="50">
        <f>'Quick Ratio'!C10</f>
        <v>1.267553191</v>
      </c>
      <c r="AB25" s="50">
        <f>'Quick Ratio'!B10</f>
        <v>1.151094501</v>
      </c>
      <c r="AD25" s="1"/>
      <c r="AE25" s="1"/>
      <c r="AF25" s="16">
        <v>1.0</v>
      </c>
      <c r="AG25" s="13" t="s">
        <v>11</v>
      </c>
      <c r="AH25" s="60">
        <f>'Quick Ratio'!D9</f>
        <v>0.4398545003</v>
      </c>
      <c r="AI25" s="50">
        <f>'Quick Ratio'!C9</f>
        <v>0.5725515886</v>
      </c>
      <c r="AJ25" s="50">
        <f>'Quick Ratio'!B9</f>
        <v>0.4621851366</v>
      </c>
      <c r="AL25" s="1"/>
      <c r="AM25" s="1"/>
      <c r="AN25" s="1"/>
    </row>
    <row r="26">
      <c r="A26" s="16">
        <v>4.0</v>
      </c>
      <c r="B26" s="9" t="s">
        <v>22</v>
      </c>
      <c r="C26" s="68">
        <f>'Quick Ratio'!D3</f>
        <v>1.828732317</v>
      </c>
      <c r="D26" s="56">
        <f>'Quick Ratio'!C3</f>
        <v>1.85633129</v>
      </c>
      <c r="E26" s="56">
        <f>'Quick Ratio'!B3</f>
        <v>1.766054326</v>
      </c>
      <c r="G26" s="1"/>
      <c r="H26" s="16">
        <v>4.0</v>
      </c>
      <c r="I26" s="13" t="s">
        <v>23</v>
      </c>
      <c r="J26" s="68">
        <f>'Quick Ratio'!D18</f>
        <v>2.205933226</v>
      </c>
      <c r="K26" s="56">
        <f>'Quick Ratio'!C18</f>
        <v>1.92772227</v>
      </c>
      <c r="L26" s="56">
        <f>'Quick Ratio'!B18</f>
        <v>1.853185385</v>
      </c>
      <c r="O26" s="1"/>
      <c r="P26" s="16">
        <v>2.0</v>
      </c>
      <c r="Q26" s="13" t="s">
        <v>14</v>
      </c>
      <c r="R26" s="68">
        <f>'Quick Ratio'!D15</f>
        <v>2.977884272</v>
      </c>
      <c r="S26" s="56">
        <f>'Quick Ratio'!C15</f>
        <v>2.670994994</v>
      </c>
      <c r="T26" s="48">
        <f>'Quick Ratio'!B15</f>
        <v>2.203396729</v>
      </c>
      <c r="V26" s="1"/>
      <c r="W26" s="1"/>
      <c r="X26" s="16">
        <v>4.0</v>
      </c>
      <c r="Y26" s="13" t="s">
        <v>25</v>
      </c>
      <c r="Z26" s="58">
        <f>'Quick Ratio'!D23</f>
        <v>2.353980811</v>
      </c>
      <c r="AA26" s="48">
        <f>'Quick Ratio'!C23</f>
        <v>3.778936686</v>
      </c>
      <c r="AB26" s="56">
        <f>'Quick Ratio'!B23</f>
        <v>4.65854637</v>
      </c>
      <c r="AD26" s="77"/>
      <c r="AE26" s="1"/>
      <c r="AF26" s="16">
        <v>2.0</v>
      </c>
      <c r="AG26" s="13" t="s">
        <v>16</v>
      </c>
      <c r="AH26" s="68">
        <f>'Quick Ratio'!D19</f>
        <v>0.6506849315</v>
      </c>
      <c r="AI26" s="48">
        <f>'Quick Ratio'!C19</f>
        <v>0.6830347268</v>
      </c>
      <c r="AJ26" s="48">
        <f>'Quick Ratio'!B19</f>
        <v>0.6091842449</v>
      </c>
      <c r="AL26" s="1"/>
      <c r="AM26" s="1"/>
      <c r="AN26" s="1"/>
    </row>
    <row r="27">
      <c r="A27" s="1"/>
      <c r="B27" s="1"/>
      <c r="C27" s="3"/>
      <c r="D27" s="3"/>
      <c r="E27" s="3"/>
      <c r="G27" s="1"/>
      <c r="H27" s="1"/>
      <c r="I27" s="1"/>
      <c r="J27" s="1"/>
      <c r="K27" s="1"/>
      <c r="L27" s="1"/>
      <c r="M27" s="1"/>
      <c r="O27" s="1"/>
      <c r="P27" s="16">
        <v>3.0</v>
      </c>
      <c r="Q27" s="13" t="s">
        <v>19</v>
      </c>
      <c r="R27" s="67">
        <f>'Quick Ratio'!D17</f>
        <v>1.21802806</v>
      </c>
      <c r="S27" s="50">
        <f>'Quick Ratio'!C17</f>
        <v>1.119345353</v>
      </c>
      <c r="T27" s="50">
        <f>'Quick Ratio'!B17</f>
        <v>1.168390289</v>
      </c>
      <c r="V27" s="1"/>
      <c r="W27" s="1"/>
      <c r="X27" s="1"/>
      <c r="Y27" s="1"/>
      <c r="Z27" s="1"/>
      <c r="AA27" s="1"/>
      <c r="AB27" s="1"/>
      <c r="AC27" s="1"/>
      <c r="AD27" s="77"/>
      <c r="AE27" s="1"/>
      <c r="AF27" s="16">
        <v>3.0</v>
      </c>
      <c r="AG27" s="13" t="s">
        <v>21</v>
      </c>
      <c r="AH27" s="67">
        <f>'Quick Ratio'!D13</f>
        <v>0.4816103125</v>
      </c>
      <c r="AI27" s="51">
        <f>'Quick Ratio'!C13</f>
        <v>0.4253931521</v>
      </c>
      <c r="AJ27" s="51">
        <f>'Quick Ratio'!B13</f>
        <v>0.4010519395</v>
      </c>
      <c r="AL27" s="77"/>
      <c r="AM27" s="77"/>
      <c r="AN27" s="77"/>
    </row>
    <row r="28">
      <c r="A28" s="1"/>
      <c r="B28" s="1"/>
      <c r="C28" s="3"/>
      <c r="D28" s="3"/>
      <c r="E28" s="3"/>
      <c r="G28" s="1"/>
      <c r="H28" s="1"/>
      <c r="I28" s="1"/>
      <c r="J28" s="1"/>
      <c r="K28" s="1"/>
      <c r="L28" s="1"/>
      <c r="M28" s="1"/>
      <c r="O28" s="1"/>
      <c r="P28" s="16">
        <v>4.0</v>
      </c>
      <c r="Q28" s="13" t="s">
        <v>24</v>
      </c>
      <c r="R28" s="60">
        <f>'Quick Ratio'!D21</f>
        <v>0.832606325</v>
      </c>
      <c r="S28" s="51">
        <f>'Quick Ratio'!C21</f>
        <v>0.8284116972</v>
      </c>
      <c r="T28" s="51">
        <f>'Quick Ratio'!B21</f>
        <v>0.6944871069</v>
      </c>
      <c r="U28" s="1"/>
      <c r="V28" s="1"/>
      <c r="W28" s="1"/>
      <c r="X28" s="1"/>
      <c r="Y28" s="1"/>
      <c r="Z28" s="1"/>
      <c r="AA28" s="1"/>
      <c r="AB28" s="1"/>
      <c r="AC28" s="1"/>
      <c r="AD28" s="77"/>
      <c r="AE28" s="1"/>
      <c r="AF28" s="16">
        <v>4.0</v>
      </c>
      <c r="AG28" s="13" t="s">
        <v>26</v>
      </c>
      <c r="AH28" s="89">
        <f>'Quick Ratio'!D12</f>
        <v>0.3336218622</v>
      </c>
      <c r="AI28" s="90">
        <f>'Quick Ratio'!C12</f>
        <v>0.2504486317</v>
      </c>
      <c r="AJ28" s="90">
        <f>'Quick Ratio'!B12</f>
        <v>0.308320951</v>
      </c>
      <c r="AK28" s="1"/>
      <c r="AL28" s="77"/>
      <c r="AM28" s="77"/>
      <c r="AN28" s="77"/>
    </row>
    <row r="29">
      <c r="A29" s="73">
        <v>4.0</v>
      </c>
      <c r="B29" s="74" t="s">
        <v>50</v>
      </c>
      <c r="C29" s="3"/>
      <c r="D29" s="3"/>
      <c r="E29" s="3"/>
      <c r="G29" s="1"/>
      <c r="H29" s="73">
        <v>4.0</v>
      </c>
      <c r="I29" s="74" t="s">
        <v>50</v>
      </c>
      <c r="J29" s="1"/>
      <c r="K29" s="1"/>
      <c r="L29" s="1"/>
      <c r="N29" s="1"/>
      <c r="O29" s="1"/>
      <c r="P29" s="16">
        <v>5.0</v>
      </c>
      <c r="Q29" s="13" t="s">
        <v>27</v>
      </c>
      <c r="R29" s="59">
        <f>'Quick Ratio'!D8</f>
        <v>0.3138810618</v>
      </c>
      <c r="S29" s="59">
        <f>'Quick Ratio'!C8</f>
        <v>0.3126986529</v>
      </c>
      <c r="T29" s="59">
        <f>'Quick Ratio'!B8</f>
        <v>0.3329465396</v>
      </c>
      <c r="U29" s="1"/>
      <c r="W29" s="1"/>
      <c r="X29" s="73">
        <v>4.0</v>
      </c>
      <c r="Y29" s="74" t="s">
        <v>50</v>
      </c>
      <c r="Z29" s="1"/>
      <c r="AA29" s="1"/>
      <c r="AB29" s="1"/>
      <c r="AC29" s="1"/>
      <c r="AD29" s="77"/>
      <c r="AE29" s="1"/>
      <c r="AF29" s="16">
        <v>5.0</v>
      </c>
      <c r="AG29" s="13" t="s">
        <v>28</v>
      </c>
      <c r="AH29" s="48">
        <f>'Quick Ratio'!D7</f>
        <v>0.6172536508</v>
      </c>
      <c r="AI29" s="56">
        <f>'Quick Ratio'!C7</f>
        <v>0.7212146194</v>
      </c>
      <c r="AJ29" s="56">
        <f>'Quick Ratio'!B7</f>
        <v>0.7060030083</v>
      </c>
      <c r="AK29" s="1"/>
      <c r="AL29" s="77"/>
      <c r="AM29" s="77"/>
      <c r="AN29" s="77"/>
    </row>
    <row r="30">
      <c r="A30" s="1"/>
      <c r="B30" s="5" t="s">
        <v>6</v>
      </c>
      <c r="C30" s="6">
        <v>2024.0</v>
      </c>
      <c r="D30" s="6">
        <v>2023.0</v>
      </c>
      <c r="E30" s="6">
        <v>2022.0</v>
      </c>
      <c r="G30" s="1"/>
      <c r="H30" s="1"/>
      <c r="I30" s="5" t="s">
        <v>6</v>
      </c>
      <c r="J30" s="6">
        <v>2024.0</v>
      </c>
      <c r="K30" s="6">
        <v>2023.0</v>
      </c>
      <c r="L30" s="6">
        <v>2022.0</v>
      </c>
      <c r="O30" s="1"/>
      <c r="U30" s="1"/>
      <c r="W30" s="1"/>
      <c r="X30" s="1"/>
      <c r="Y30" s="5" t="s">
        <v>6</v>
      </c>
      <c r="Z30" s="6">
        <v>2024.0</v>
      </c>
      <c r="AA30" s="6">
        <v>2023.0</v>
      </c>
      <c r="AB30" s="6">
        <v>2022.0</v>
      </c>
      <c r="AD30" s="77"/>
      <c r="AE30" s="1"/>
      <c r="AK30" s="1"/>
      <c r="AL30" s="77"/>
      <c r="AM30" s="77"/>
      <c r="AN30" s="77"/>
    </row>
    <row r="31">
      <c r="A31" s="16">
        <v>1.0</v>
      </c>
      <c r="B31" s="9" t="s">
        <v>7</v>
      </c>
      <c r="C31" s="67">
        <f>'Cash Ratio'!D2</f>
        <v>0.1697525965</v>
      </c>
      <c r="D31" s="51">
        <f>'Cash Ratio'!C2</f>
        <v>0.2062171388</v>
      </c>
      <c r="E31" s="92">
        <f>'Cash Ratio'!B2</f>
        <v>0.1535634035</v>
      </c>
      <c r="G31" s="1"/>
      <c r="H31" s="16">
        <v>1.0</v>
      </c>
      <c r="I31" s="13" t="s">
        <v>8</v>
      </c>
      <c r="J31" s="58">
        <f>'Cash Ratio'!D5</f>
        <v>0.4390489938</v>
      </c>
      <c r="K31" s="48">
        <f>'Cash Ratio'!C5</f>
        <v>0.4449935422</v>
      </c>
      <c r="L31" s="48">
        <f>'Cash Ratio'!B5</f>
        <v>0.3467852477</v>
      </c>
      <c r="O31" s="1"/>
      <c r="W31" s="1"/>
      <c r="X31" s="16">
        <v>1.0</v>
      </c>
      <c r="Y31" s="13" t="s">
        <v>10</v>
      </c>
      <c r="Z31" s="60">
        <f>'Cash Ratio'!D4</f>
        <v>0.518334127</v>
      </c>
      <c r="AA31" s="50">
        <f>'Cash Ratio'!C4</f>
        <v>0.5950413223</v>
      </c>
      <c r="AB31" s="50">
        <f>'Cash Ratio'!B4</f>
        <v>0.4863262574</v>
      </c>
      <c r="AE31" s="1"/>
      <c r="AL31" s="1"/>
      <c r="AM31" s="1"/>
      <c r="AN31" s="1"/>
    </row>
    <row r="32">
      <c r="A32" s="16">
        <v>2.0</v>
      </c>
      <c r="B32" s="9" t="s">
        <v>12</v>
      </c>
      <c r="C32" s="60">
        <f>'Cash Ratio'!D16</f>
        <v>0.1461855275</v>
      </c>
      <c r="D32" s="50">
        <f>'Cash Ratio'!C16</f>
        <v>0.3332149132</v>
      </c>
      <c r="E32" s="93">
        <f>'Cash Ratio'!B16</f>
        <v>0.1465156391</v>
      </c>
      <c r="G32" s="1"/>
      <c r="H32" s="16">
        <v>2.0</v>
      </c>
      <c r="I32" s="13" t="s">
        <v>13</v>
      </c>
      <c r="J32" s="60">
        <f>'Cash Ratio'!D14</f>
        <v>0.1587062579</v>
      </c>
      <c r="K32" s="51">
        <f>'Cash Ratio'!C14</f>
        <v>0.2269377608</v>
      </c>
      <c r="L32" s="51">
        <f>'Cash Ratio'!B14</f>
        <v>0.2230787199</v>
      </c>
      <c r="O32" s="1"/>
      <c r="P32" s="73">
        <v>4.0</v>
      </c>
      <c r="Q32" s="74" t="s">
        <v>50</v>
      </c>
      <c r="R32" s="1"/>
      <c r="S32" s="1"/>
      <c r="T32" s="1"/>
      <c r="W32" s="1"/>
      <c r="X32" s="16">
        <v>2.0</v>
      </c>
      <c r="Y32" s="13" t="s">
        <v>15</v>
      </c>
      <c r="Z32" s="67">
        <f>'Cash Ratio'!D20</f>
        <v>0.6308343686</v>
      </c>
      <c r="AA32" s="48">
        <f>'Cash Ratio'!C20</f>
        <v>0.7974528247</v>
      </c>
      <c r="AB32" s="48">
        <f>'Cash Ratio'!B20</f>
        <v>0.9887307803</v>
      </c>
      <c r="AD32" s="1"/>
      <c r="AE32" s="1"/>
      <c r="AF32" s="73">
        <v>4.0</v>
      </c>
      <c r="AG32" s="74" t="s">
        <v>50</v>
      </c>
      <c r="AH32" s="1"/>
      <c r="AI32" s="1"/>
      <c r="AJ32" s="1"/>
      <c r="AL32" s="1"/>
      <c r="AM32" s="1"/>
      <c r="AN32" s="1"/>
    </row>
    <row r="33">
      <c r="A33" s="16">
        <v>3.0</v>
      </c>
      <c r="B33" s="9" t="s">
        <v>17</v>
      </c>
      <c r="C33" s="68">
        <f>'Cash Ratio'!D6</f>
        <v>0.635162632</v>
      </c>
      <c r="D33" s="48">
        <f>'Cash Ratio'!C6</f>
        <v>0.4304042471</v>
      </c>
      <c r="E33" s="48">
        <f>'Cash Ratio'!B6</f>
        <v>0.4041626816</v>
      </c>
      <c r="G33" s="1"/>
      <c r="H33" s="16">
        <v>3.0</v>
      </c>
      <c r="I33" s="13" t="s">
        <v>18</v>
      </c>
      <c r="J33" s="68">
        <f>'Cash Ratio'!D22</f>
        <v>0.5599736303</v>
      </c>
      <c r="K33" s="56">
        <f>'Cash Ratio'!C22</f>
        <v>0.5704048977</v>
      </c>
      <c r="L33" s="56">
        <f>'Cash Ratio'!B22</f>
        <v>0.6085214722</v>
      </c>
      <c r="O33" s="1"/>
      <c r="P33" s="1"/>
      <c r="Q33" s="5" t="s">
        <v>6</v>
      </c>
      <c r="R33" s="6">
        <v>2024.0</v>
      </c>
      <c r="S33" s="6">
        <v>2023.0</v>
      </c>
      <c r="T33" s="6">
        <v>2022.0</v>
      </c>
      <c r="W33" s="1"/>
      <c r="X33" s="16">
        <v>3.0</v>
      </c>
      <c r="Y33" s="13" t="s">
        <v>20</v>
      </c>
      <c r="Z33" s="58">
        <f>'Cash Ratio'!D10</f>
        <v>0.832305898</v>
      </c>
      <c r="AA33" s="51">
        <f>'Cash Ratio'!C10</f>
        <v>0.5394503546</v>
      </c>
      <c r="AB33" s="51">
        <f>'Cash Ratio'!B10</f>
        <v>0.4815803524</v>
      </c>
      <c r="AD33" s="1"/>
      <c r="AE33" s="1"/>
      <c r="AF33" s="1"/>
      <c r="AG33" s="5" t="s">
        <v>6</v>
      </c>
      <c r="AH33" s="6">
        <v>2024.0</v>
      </c>
      <c r="AI33" s="6">
        <v>2023.0</v>
      </c>
      <c r="AJ33" s="6">
        <v>2022.0</v>
      </c>
      <c r="AL33" s="1"/>
      <c r="AM33" s="1"/>
      <c r="AN33" s="1"/>
    </row>
    <row r="34">
      <c r="A34" s="16">
        <v>4.0</v>
      </c>
      <c r="B34" s="9" t="s">
        <v>22</v>
      </c>
      <c r="C34" s="58">
        <f>'Cash Ratio'!D3</f>
        <v>0.5201208625</v>
      </c>
      <c r="D34" s="56">
        <f>'Cash Ratio'!C3</f>
        <v>0.5879802661</v>
      </c>
      <c r="E34" s="56">
        <f>'Cash Ratio'!B3</f>
        <v>0.7591458628</v>
      </c>
      <c r="G34" s="1"/>
      <c r="H34" s="16">
        <v>4.0</v>
      </c>
      <c r="I34" s="13" t="s">
        <v>23</v>
      </c>
      <c r="J34" s="67">
        <f>'Cash Ratio'!D18</f>
        <v>0.306587296</v>
      </c>
      <c r="K34" s="50">
        <f>'Cash Ratio'!C18</f>
        <v>0.3910668192</v>
      </c>
      <c r="L34" s="50">
        <f>'Cash Ratio'!B18</f>
        <v>0.2936636556</v>
      </c>
      <c r="O34" s="1"/>
      <c r="P34" s="16">
        <v>1.0</v>
      </c>
      <c r="Q34" s="13" t="s">
        <v>9</v>
      </c>
      <c r="R34" s="60">
        <f>'Cash Ratio'!D11</f>
        <v>0.2633019905</v>
      </c>
      <c r="S34" s="50">
        <f>'Cash Ratio'!C11</f>
        <v>0.2939350233</v>
      </c>
      <c r="T34" s="50">
        <f>'Cash Ratio'!B11</f>
        <v>0.3157142857</v>
      </c>
      <c r="V34" s="1"/>
      <c r="W34" s="1"/>
      <c r="X34" s="16">
        <v>4.0</v>
      </c>
      <c r="Y34" s="13" t="s">
        <v>25</v>
      </c>
      <c r="Z34" s="68">
        <f>'Cash Ratio'!D23</f>
        <v>1.281939067</v>
      </c>
      <c r="AA34" s="56">
        <f>'Cash Ratio'!C23</f>
        <v>2.923014038</v>
      </c>
      <c r="AB34" s="56">
        <f>'Cash Ratio'!B23</f>
        <v>3.83064075</v>
      </c>
      <c r="AD34" s="1"/>
      <c r="AE34" s="1"/>
      <c r="AF34" s="16">
        <v>1.0</v>
      </c>
      <c r="AG34" s="13" t="s">
        <v>11</v>
      </c>
      <c r="AH34" s="68">
        <f>'Cash Ratio'!D9</f>
        <v>0.2793255132</v>
      </c>
      <c r="AI34" s="56">
        <f>'Cash Ratio'!C9</f>
        <v>0.4079444957</v>
      </c>
      <c r="AJ34" s="56">
        <f>'Cash Ratio'!B9</f>
        <v>0.318863679</v>
      </c>
      <c r="AL34" s="1"/>
      <c r="AM34" s="1"/>
      <c r="AN34" s="1"/>
    </row>
    <row r="35">
      <c r="A35" s="1"/>
      <c r="B35" s="1"/>
      <c r="C35" s="1"/>
      <c r="D35" s="1"/>
      <c r="E35" s="1"/>
      <c r="G35" s="1"/>
      <c r="H35" s="1"/>
      <c r="I35" s="1"/>
      <c r="J35" s="1"/>
      <c r="K35" s="1"/>
      <c r="L35" s="1"/>
      <c r="M35" s="1"/>
      <c r="N35" s="1"/>
      <c r="O35" s="1"/>
      <c r="P35" s="16">
        <v>2.0</v>
      </c>
      <c r="Q35" s="13" t="s">
        <v>14</v>
      </c>
      <c r="R35" s="68">
        <f>'Cash Ratio'!D15</f>
        <v>1.306375759</v>
      </c>
      <c r="S35" s="56">
        <f>'Cash Ratio'!C15</f>
        <v>1.309824781</v>
      </c>
      <c r="T35" s="48">
        <f>'Cash Ratio'!B15</f>
        <v>0.5432176423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6">
        <v>2.0</v>
      </c>
      <c r="AG35" s="13" t="s">
        <v>16</v>
      </c>
      <c r="AH35" s="58">
        <f>'Cash Ratio'!D19</f>
        <v>0.2696917808</v>
      </c>
      <c r="AI35" s="48">
        <f>'Cash Ratio'!C19</f>
        <v>0.3068537302</v>
      </c>
      <c r="AJ35" s="50">
        <f>'Cash Ratio'!B19</f>
        <v>0.1849542654</v>
      </c>
      <c r="AL35" s="1"/>
      <c r="AM35" s="1"/>
      <c r="AN35" s="1"/>
    </row>
    <row r="36">
      <c r="A36" s="27" t="s">
        <v>51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6">
        <v>3.0</v>
      </c>
      <c r="Q36" s="13" t="s">
        <v>19</v>
      </c>
      <c r="R36" s="58">
        <f>'Cash Ratio'!D17</f>
        <v>0.7256571583</v>
      </c>
      <c r="S36" s="48">
        <f>'Cash Ratio'!C17</f>
        <v>0.8032039392</v>
      </c>
      <c r="T36" s="56">
        <f>'Cash Ratio'!B17</f>
        <v>0.6489967058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6">
        <v>3.0</v>
      </c>
      <c r="AG36" s="13" t="s">
        <v>21</v>
      </c>
      <c r="AH36" s="60">
        <f>'Cash Ratio'!D13</f>
        <v>0.06910839429</v>
      </c>
      <c r="AI36" s="51">
        <f>'Cash Ratio'!C13</f>
        <v>0.09519802241</v>
      </c>
      <c r="AJ36" s="51">
        <f>'Cash Ratio'!B13</f>
        <v>0.1149363457</v>
      </c>
      <c r="AL36" s="1"/>
      <c r="AM36" s="1"/>
      <c r="AN36" s="1"/>
    </row>
    <row r="37">
      <c r="A37" s="3"/>
      <c r="B37" s="3"/>
      <c r="C37" s="1"/>
      <c r="D37" s="1"/>
      <c r="E37" s="1"/>
      <c r="F37" s="1"/>
      <c r="G37" s="1"/>
      <c r="H37" s="3"/>
      <c r="I37" s="3"/>
      <c r="J37" s="1"/>
      <c r="K37" s="1"/>
      <c r="L37" s="1"/>
      <c r="M37" s="1"/>
      <c r="N37" s="1"/>
      <c r="O37" s="1"/>
      <c r="P37" s="16">
        <v>4.0</v>
      </c>
      <c r="Q37" s="13" t="s">
        <v>24</v>
      </c>
      <c r="R37" s="67">
        <f>'Cash Ratio'!D21</f>
        <v>0.2681173788</v>
      </c>
      <c r="S37" s="51">
        <f>'Cash Ratio'!C21</f>
        <v>0.2453650612</v>
      </c>
      <c r="T37" s="51">
        <f>'Cash Ratio'!B21</f>
        <v>0.1821598901</v>
      </c>
      <c r="U37" s="1"/>
      <c r="V37" s="1"/>
      <c r="W37" s="1"/>
      <c r="X37" s="73"/>
      <c r="Y37" s="3"/>
      <c r="Z37" s="1"/>
      <c r="AA37" s="1"/>
      <c r="AB37" s="1"/>
      <c r="AC37" s="1"/>
      <c r="AD37" s="1"/>
      <c r="AE37" s="1"/>
      <c r="AF37" s="16">
        <v>4.0</v>
      </c>
      <c r="AG37" s="13" t="s">
        <v>26</v>
      </c>
      <c r="AH37" s="89">
        <f>'Cash Ratio'!D12</f>
        <v>0.06306417707</v>
      </c>
      <c r="AI37" s="90">
        <f>'Cash Ratio'!C12</f>
        <v>0.0299461642</v>
      </c>
      <c r="AJ37" s="90">
        <f>'Cash Ratio'!B12</f>
        <v>0.06624566617</v>
      </c>
      <c r="AK37" s="1"/>
      <c r="AL37" s="1"/>
      <c r="AM37" s="1"/>
      <c r="AN37" s="1"/>
    </row>
    <row r="38">
      <c r="A38" s="1"/>
      <c r="B38" s="5"/>
      <c r="C38" s="91"/>
      <c r="D38" s="91"/>
      <c r="E38" s="91"/>
      <c r="G38" s="1"/>
      <c r="H38" s="1"/>
      <c r="I38" s="5"/>
      <c r="J38" s="91"/>
      <c r="K38" s="91"/>
      <c r="L38" s="91"/>
      <c r="N38" s="1"/>
      <c r="O38" s="1"/>
      <c r="P38" s="16">
        <v>5.0</v>
      </c>
      <c r="Q38" s="13" t="s">
        <v>27</v>
      </c>
      <c r="R38" s="59">
        <f>'Cash Ratio'!D8</f>
        <v>0.03403529586</v>
      </c>
      <c r="S38" s="59">
        <f>'Cash Ratio'!C8</f>
        <v>0.05365521417</v>
      </c>
      <c r="T38" s="59">
        <f>'Cash Ratio'!B8</f>
        <v>0.05346042271</v>
      </c>
      <c r="U38" s="1"/>
      <c r="V38" s="1"/>
      <c r="W38" s="1"/>
      <c r="X38" s="1"/>
      <c r="Y38" s="5"/>
      <c r="Z38" s="91"/>
      <c r="AA38" s="91"/>
      <c r="AB38" s="91"/>
      <c r="AD38" s="1"/>
      <c r="AE38" s="1"/>
      <c r="AF38" s="16">
        <v>5.0</v>
      </c>
      <c r="AG38" s="13" t="s">
        <v>28</v>
      </c>
      <c r="AH38" s="50">
        <f>'Cash Ratio'!D7</f>
        <v>0.1918026752</v>
      </c>
      <c r="AI38" s="50">
        <f>'Cash Ratio'!C7</f>
        <v>0.1949711459</v>
      </c>
      <c r="AJ38" s="48">
        <f>'Cash Ratio'!B7</f>
        <v>0.1896622453</v>
      </c>
      <c r="AK38" s="1"/>
      <c r="AL38" s="1"/>
      <c r="AM38" s="1"/>
      <c r="AN38" s="1"/>
    </row>
    <row r="39">
      <c r="A39" s="70"/>
      <c r="B39" s="5"/>
      <c r="C39" s="94"/>
      <c r="D39" s="72"/>
      <c r="E39" s="72"/>
      <c r="G39" s="1"/>
      <c r="H39" s="70"/>
      <c r="I39" s="71"/>
      <c r="J39" s="94"/>
      <c r="K39" s="72"/>
      <c r="L39" s="72"/>
      <c r="N39" s="1"/>
      <c r="O39" s="1"/>
      <c r="P39" s="3"/>
      <c r="Q39" s="3"/>
      <c r="R39" s="1"/>
      <c r="S39" s="1"/>
      <c r="T39" s="1"/>
      <c r="U39" s="1"/>
      <c r="V39" s="1"/>
      <c r="W39" s="1"/>
      <c r="X39" s="70"/>
      <c r="Y39" s="71"/>
      <c r="Z39" s="95"/>
      <c r="AA39" s="72"/>
      <c r="AB39" s="72"/>
      <c r="AD39" s="1"/>
      <c r="AE39" s="1"/>
      <c r="AF39" s="3"/>
      <c r="AG39" s="3"/>
      <c r="AH39" s="1"/>
      <c r="AI39" s="1"/>
      <c r="AJ39" s="1"/>
      <c r="AK39" s="1"/>
      <c r="AL39" s="1"/>
      <c r="AM39" s="1"/>
      <c r="AN39" s="1"/>
    </row>
    <row r="40">
      <c r="A40" s="70"/>
      <c r="B40" s="5"/>
      <c r="C40" s="94"/>
      <c r="D40" s="72"/>
      <c r="E40" s="72"/>
      <c r="G40" s="1"/>
      <c r="H40" s="70"/>
      <c r="I40" s="71"/>
      <c r="J40" s="94"/>
      <c r="K40" s="72"/>
      <c r="L40" s="72"/>
      <c r="N40" s="1"/>
      <c r="O40" s="1"/>
      <c r="P40" s="96" t="s">
        <v>52</v>
      </c>
      <c r="Q40" s="5"/>
      <c r="R40" s="91"/>
      <c r="S40" s="91"/>
      <c r="T40" s="91"/>
      <c r="V40" s="1"/>
      <c r="W40" s="1"/>
      <c r="X40" s="97" t="s">
        <v>52</v>
      </c>
      <c r="Y40" s="71"/>
      <c r="Z40" s="95"/>
      <c r="AA40" s="72"/>
      <c r="AB40" s="72"/>
      <c r="AD40" s="1"/>
      <c r="AE40" s="1"/>
      <c r="AF40" s="1"/>
      <c r="AG40" s="5"/>
      <c r="AH40" s="91"/>
      <c r="AI40" s="91"/>
      <c r="AJ40" s="91"/>
      <c r="AL40" s="1"/>
      <c r="AM40" s="1"/>
      <c r="AN40" s="1"/>
    </row>
    <row r="41">
      <c r="A41" s="98" t="s">
        <v>53</v>
      </c>
      <c r="G41" s="1"/>
      <c r="H41" s="99" t="s">
        <v>54</v>
      </c>
      <c r="N41" s="1"/>
      <c r="O41" s="1"/>
      <c r="P41" s="100" t="s">
        <v>55</v>
      </c>
      <c r="Q41" s="71"/>
      <c r="R41" s="94"/>
      <c r="S41" s="72"/>
      <c r="T41" s="72"/>
      <c r="V41" s="1"/>
      <c r="W41" s="1"/>
      <c r="X41" s="101" t="s">
        <v>56</v>
      </c>
      <c r="AD41" s="1"/>
      <c r="AE41" s="1"/>
      <c r="AF41" s="101" t="s">
        <v>57</v>
      </c>
      <c r="AL41" s="1"/>
      <c r="AM41" s="1"/>
      <c r="AN41" s="1"/>
    </row>
    <row r="42">
      <c r="A42" s="97" t="s">
        <v>22</v>
      </c>
      <c r="B42" s="5"/>
      <c r="C42" s="94"/>
      <c r="D42" s="72"/>
      <c r="E42" s="72"/>
      <c r="G42" s="1"/>
      <c r="H42" s="97" t="s">
        <v>23</v>
      </c>
      <c r="I42" s="71"/>
      <c r="J42" s="94"/>
      <c r="K42" s="72"/>
      <c r="L42" s="72"/>
      <c r="N42" s="1"/>
      <c r="O42" s="1"/>
      <c r="P42" s="102" t="s">
        <v>9</v>
      </c>
      <c r="Q42" s="71"/>
      <c r="R42" s="94"/>
      <c r="S42" s="72"/>
      <c r="T42" s="72"/>
      <c r="V42" s="1"/>
      <c r="W42" s="1"/>
      <c r="X42" s="102" t="s">
        <v>15</v>
      </c>
      <c r="Y42" s="71"/>
      <c r="Z42" s="95"/>
      <c r="AA42" s="72"/>
      <c r="AB42" s="72"/>
      <c r="AD42" s="1"/>
      <c r="AE42" s="1"/>
      <c r="AF42" s="27" t="s">
        <v>11</v>
      </c>
      <c r="AG42" s="5"/>
      <c r="AH42" s="91"/>
      <c r="AI42" s="91"/>
      <c r="AJ42" s="91"/>
      <c r="AL42" s="1"/>
      <c r="AM42" s="1"/>
      <c r="AN42" s="1"/>
    </row>
    <row r="43">
      <c r="A43" s="97" t="s">
        <v>17</v>
      </c>
      <c r="B43" s="1"/>
      <c r="C43" s="1"/>
      <c r="D43" s="1"/>
      <c r="E43" s="1"/>
      <c r="F43" s="1"/>
      <c r="G43" s="1"/>
      <c r="H43" s="97" t="s">
        <v>18</v>
      </c>
      <c r="I43" s="1"/>
      <c r="J43" s="1"/>
      <c r="K43" s="1"/>
      <c r="L43" s="1"/>
      <c r="M43" s="1"/>
      <c r="N43" s="1"/>
      <c r="O43" s="1"/>
      <c r="P43" s="102" t="s">
        <v>14</v>
      </c>
      <c r="Q43" s="71"/>
      <c r="R43" s="94"/>
      <c r="S43" s="72"/>
      <c r="T43" s="72"/>
      <c r="V43" s="1"/>
      <c r="W43" s="1"/>
      <c r="X43" s="27" t="s">
        <v>25</v>
      </c>
      <c r="Y43" s="1"/>
      <c r="Z43" s="1"/>
      <c r="AA43" s="1"/>
      <c r="AB43" s="1"/>
      <c r="AC43" s="1"/>
      <c r="AD43" s="1"/>
      <c r="AE43" s="1"/>
      <c r="AF43" s="102" t="s">
        <v>16</v>
      </c>
      <c r="AG43" s="71"/>
      <c r="AH43" s="95"/>
      <c r="AI43" s="72"/>
      <c r="AJ43" s="72"/>
      <c r="AL43" s="1"/>
      <c r="AM43" s="1"/>
      <c r="AN43" s="1"/>
    </row>
    <row r="44">
      <c r="A44" s="1"/>
      <c r="B44" s="1"/>
      <c r="C44" s="1"/>
      <c r="D44" s="1"/>
      <c r="E44" s="1"/>
      <c r="F44" s="1"/>
      <c r="G44" s="1"/>
      <c r="H44" s="38"/>
      <c r="K44" s="1"/>
      <c r="L44" s="1"/>
      <c r="M44" s="1"/>
      <c r="N44" s="1"/>
      <c r="O44" s="1"/>
      <c r="P44" s="70"/>
      <c r="Q44" s="71"/>
      <c r="R44" s="94"/>
      <c r="S44" s="72"/>
      <c r="T44" s="72"/>
      <c r="V44" s="1"/>
      <c r="W44" s="1"/>
      <c r="X44" s="38"/>
      <c r="AA44" s="1"/>
      <c r="AB44" s="1"/>
      <c r="AC44" s="1"/>
      <c r="AD44" s="1"/>
      <c r="AE44" s="1"/>
      <c r="AF44" s="70"/>
      <c r="AG44" s="71"/>
      <c r="AH44" s="95"/>
      <c r="AI44" s="72"/>
      <c r="AJ44" s="72"/>
      <c r="AL44" s="1"/>
      <c r="AM44" s="1"/>
      <c r="AN44" s="1"/>
    </row>
    <row r="45">
      <c r="A45" s="3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70"/>
      <c r="Q45" s="71"/>
      <c r="R45" s="94"/>
      <c r="S45" s="72"/>
      <c r="T45" s="72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70"/>
      <c r="AG45" s="71"/>
      <c r="AH45" s="95"/>
      <c r="AI45" s="72"/>
      <c r="AJ45" s="72"/>
      <c r="AL45" s="1"/>
      <c r="AM45" s="1"/>
      <c r="A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70"/>
      <c r="AG46" s="71"/>
      <c r="AH46" s="95"/>
      <c r="AI46" s="72"/>
      <c r="AJ46" s="72"/>
      <c r="AK46" s="1"/>
      <c r="AL46" s="1"/>
      <c r="AM46" s="1"/>
      <c r="A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8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70"/>
      <c r="AG47" s="71"/>
      <c r="AH47" s="72"/>
      <c r="AI47" s="72"/>
      <c r="AJ47" s="72"/>
      <c r="AK47" s="1"/>
      <c r="AL47" s="1"/>
      <c r="AM47" s="1"/>
      <c r="A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E52" s="1"/>
      <c r="F52" s="1"/>
      <c r="M52" s="1"/>
      <c r="N52" s="1"/>
      <c r="O52" s="1"/>
      <c r="V52" s="1"/>
      <c r="W52" s="1"/>
      <c r="AD52" s="1"/>
      <c r="AE52" s="1"/>
      <c r="AF52" s="1"/>
      <c r="AL52" s="1"/>
      <c r="AM52" s="1"/>
      <c r="AN52" s="1"/>
    </row>
  </sheetData>
  <mergeCells count="18">
    <mergeCell ref="A2:E2"/>
    <mergeCell ref="H2:N2"/>
    <mergeCell ref="P2:V2"/>
    <mergeCell ref="X2:AE2"/>
    <mergeCell ref="AF2:AK2"/>
    <mergeCell ref="A41:E41"/>
    <mergeCell ref="H41:L41"/>
    <mergeCell ref="F52:L52"/>
    <mergeCell ref="O52:U52"/>
    <mergeCell ref="W52:AC52"/>
    <mergeCell ref="AF52:AK52"/>
    <mergeCell ref="X41:AB41"/>
    <mergeCell ref="AF41:AJ41"/>
    <mergeCell ref="H44:J44"/>
    <mergeCell ref="X44:Z44"/>
    <mergeCell ref="A45:C45"/>
    <mergeCell ref="P47:R47"/>
    <mergeCell ref="A52:D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5" max="15" width="50.86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03" t="s">
        <v>0</v>
      </c>
      <c r="E3" s="1"/>
      <c r="F3" s="71" t="s">
        <v>1</v>
      </c>
      <c r="M3" s="1"/>
      <c r="N3" s="1"/>
      <c r="O3" s="71" t="s">
        <v>2</v>
      </c>
      <c r="V3" s="1"/>
      <c r="W3" s="71" t="s">
        <v>3</v>
      </c>
      <c r="AD3" s="1"/>
      <c r="AE3" s="1"/>
      <c r="AF3" s="71" t="s">
        <v>4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38" t="s">
        <v>58</v>
      </c>
      <c r="C5" s="1"/>
      <c r="D5" s="1"/>
      <c r="E5" s="1"/>
      <c r="F5" s="38" t="s">
        <v>58</v>
      </c>
      <c r="H5" s="1"/>
      <c r="I5" s="1"/>
      <c r="J5" s="1"/>
      <c r="K5" s="1"/>
      <c r="L5" s="1"/>
      <c r="M5" s="1"/>
      <c r="N5" s="1"/>
      <c r="O5" s="38" t="s">
        <v>58</v>
      </c>
      <c r="Q5" s="1"/>
      <c r="R5" s="1"/>
      <c r="S5" s="1"/>
      <c r="T5" s="1"/>
      <c r="U5" s="1"/>
      <c r="V5" s="1"/>
      <c r="W5" s="38" t="s">
        <v>58</v>
      </c>
      <c r="Y5" s="1"/>
      <c r="Z5" s="1"/>
      <c r="AA5" s="1"/>
      <c r="AB5" s="1"/>
      <c r="AC5" s="1"/>
      <c r="AD5" s="1"/>
      <c r="AE5" s="1"/>
      <c r="AF5" s="38" t="s">
        <v>58</v>
      </c>
      <c r="AH5" s="1"/>
      <c r="AI5" s="1"/>
      <c r="AJ5" s="1"/>
      <c r="AK5" s="1"/>
    </row>
    <row r="6">
      <c r="A6" s="27" t="s">
        <v>7</v>
      </c>
      <c r="B6" s="1"/>
      <c r="C6" s="1"/>
      <c r="D6" s="1"/>
      <c r="E6" s="1"/>
      <c r="F6" s="27" t="s">
        <v>23</v>
      </c>
      <c r="G6" s="1"/>
      <c r="H6" s="1"/>
      <c r="I6" s="1"/>
      <c r="J6" s="1"/>
      <c r="K6" s="1"/>
      <c r="L6" s="1"/>
      <c r="M6" s="1"/>
      <c r="N6" s="1"/>
      <c r="O6" s="100" t="s">
        <v>59</v>
      </c>
      <c r="P6" s="1"/>
      <c r="Q6" s="1"/>
      <c r="R6" s="1"/>
      <c r="S6" s="1"/>
      <c r="T6" s="1"/>
      <c r="U6" s="1"/>
      <c r="V6" s="1"/>
      <c r="W6" s="27" t="s">
        <v>15</v>
      </c>
      <c r="X6" s="1"/>
      <c r="Y6" s="1"/>
      <c r="Z6" s="1"/>
      <c r="AA6" s="1"/>
      <c r="AB6" s="1"/>
      <c r="AC6" s="1"/>
      <c r="AD6" s="1"/>
      <c r="AE6" s="1"/>
      <c r="AF6" s="84" t="s">
        <v>60</v>
      </c>
      <c r="AK6" s="1"/>
    </row>
    <row r="7">
      <c r="A7" s="27" t="s">
        <v>17</v>
      </c>
      <c r="B7" s="1"/>
      <c r="C7" s="1"/>
      <c r="D7" s="1"/>
      <c r="E7" s="1"/>
      <c r="F7" s="27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7" t="s">
        <v>10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38" t="s">
        <v>61</v>
      </c>
      <c r="C11" s="1"/>
      <c r="D11" s="1"/>
      <c r="E11" s="1"/>
      <c r="F11" s="38" t="s">
        <v>61</v>
      </c>
      <c r="H11" s="1"/>
      <c r="I11" s="1"/>
      <c r="J11" s="1"/>
      <c r="K11" s="1"/>
      <c r="L11" s="1"/>
      <c r="M11" s="1"/>
      <c r="N11" s="1"/>
      <c r="O11" s="38" t="s">
        <v>61</v>
      </c>
      <c r="Q11" s="1"/>
      <c r="R11" s="1"/>
      <c r="S11" s="1"/>
      <c r="T11" s="1"/>
      <c r="U11" s="1"/>
      <c r="V11" s="1"/>
      <c r="W11" s="38" t="s">
        <v>61</v>
      </c>
      <c r="Y11" s="1"/>
      <c r="Z11" s="1"/>
      <c r="AA11" s="1"/>
      <c r="AB11" s="1"/>
      <c r="AC11" s="1"/>
      <c r="AD11" s="1"/>
      <c r="AE11" s="1"/>
      <c r="AF11" s="38" t="s">
        <v>61</v>
      </c>
      <c r="AH11" s="1"/>
      <c r="AI11" s="1"/>
      <c r="AJ11" s="1"/>
      <c r="AK11" s="1"/>
    </row>
    <row r="12">
      <c r="A12" s="27" t="s">
        <v>7</v>
      </c>
      <c r="B12" s="1"/>
      <c r="C12" s="1"/>
      <c r="D12" s="1"/>
      <c r="E12" s="1"/>
      <c r="F12" s="27" t="s">
        <v>23</v>
      </c>
      <c r="G12" s="1"/>
      <c r="H12" s="1"/>
      <c r="I12" s="1"/>
      <c r="J12" s="1"/>
      <c r="K12" s="1"/>
      <c r="L12" s="1"/>
      <c r="M12" s="1"/>
      <c r="N12" s="1"/>
      <c r="O12" s="100" t="s">
        <v>62</v>
      </c>
      <c r="P12" s="1"/>
      <c r="Q12" s="1"/>
      <c r="R12" s="1"/>
      <c r="S12" s="1"/>
      <c r="T12" s="1"/>
      <c r="U12" s="1"/>
      <c r="V12" s="1"/>
      <c r="W12" s="27" t="s">
        <v>15</v>
      </c>
      <c r="X12" s="1"/>
      <c r="Y12" s="1"/>
      <c r="Z12" s="1"/>
      <c r="AA12" s="1"/>
      <c r="AB12" s="1"/>
      <c r="AC12" s="1"/>
      <c r="AD12" s="1"/>
      <c r="AE12" s="1"/>
      <c r="AF12" s="104" t="s">
        <v>63</v>
      </c>
      <c r="AJ12" s="105"/>
      <c r="AK12" s="105"/>
    </row>
    <row r="13">
      <c r="A13" s="27" t="s">
        <v>17</v>
      </c>
      <c r="B13" s="1"/>
      <c r="C13" s="1"/>
      <c r="D13" s="1"/>
      <c r="E13" s="1"/>
      <c r="F13" s="27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7" t="s">
        <v>10</v>
      </c>
      <c r="X13" s="1"/>
      <c r="Y13" s="1"/>
      <c r="Z13" s="1"/>
      <c r="AA13" s="1"/>
      <c r="AB13" s="1"/>
      <c r="AC13" s="1"/>
      <c r="AD13" s="1"/>
      <c r="AE13" s="1"/>
      <c r="AF13" s="106"/>
      <c r="AG13" s="106"/>
      <c r="AH13" s="106"/>
      <c r="AI13" s="106"/>
      <c r="AJ13" s="106"/>
      <c r="AK13" s="106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07" t="s">
        <v>64</v>
      </c>
      <c r="G15" s="38"/>
      <c r="H15" s="1"/>
      <c r="I15" s="1"/>
      <c r="J15" s="1"/>
      <c r="K15" s="1"/>
      <c r="L15" s="1"/>
      <c r="M15" s="1"/>
      <c r="N15" s="1"/>
      <c r="O15" s="107" t="s">
        <v>64</v>
      </c>
      <c r="P15" s="1"/>
      <c r="Q15" s="1"/>
      <c r="R15" s="1"/>
      <c r="S15" s="1"/>
      <c r="T15" s="1"/>
      <c r="U15" s="1"/>
      <c r="V15" s="1"/>
      <c r="W15" s="107" t="s">
        <v>64</v>
      </c>
      <c r="X15" s="1"/>
      <c r="Y15" s="1"/>
      <c r="Z15" s="1"/>
      <c r="AA15" s="1"/>
      <c r="AB15" s="1"/>
      <c r="AC15" s="1"/>
      <c r="AD15" s="1"/>
      <c r="AE15" s="1"/>
      <c r="AF15" s="107" t="s">
        <v>64</v>
      </c>
      <c r="AG15" s="1"/>
      <c r="AH15" s="1"/>
      <c r="AI15" s="1"/>
      <c r="AJ15" s="1"/>
      <c r="AK15" s="1"/>
    </row>
    <row r="16">
      <c r="A16" s="107" t="s">
        <v>64</v>
      </c>
      <c r="B16" s="108"/>
      <c r="C16" s="1"/>
      <c r="D16" s="1"/>
      <c r="E16" s="1"/>
      <c r="F16" s="44" t="s">
        <v>23</v>
      </c>
      <c r="H16" s="1"/>
      <c r="I16" s="1"/>
      <c r="J16" s="1"/>
      <c r="K16" s="1"/>
      <c r="L16" s="1"/>
      <c r="M16" s="1"/>
      <c r="N16" s="1"/>
      <c r="O16" s="100" t="s">
        <v>65</v>
      </c>
      <c r="Q16" s="1"/>
      <c r="R16" s="1"/>
      <c r="S16" s="1"/>
      <c r="T16" s="1"/>
      <c r="U16" s="1"/>
      <c r="V16" s="1"/>
      <c r="W16" s="44" t="s">
        <v>15</v>
      </c>
      <c r="Y16" s="1"/>
      <c r="Z16" s="1"/>
      <c r="AA16" s="1"/>
      <c r="AB16" s="1"/>
      <c r="AC16" s="1"/>
      <c r="AD16" s="1"/>
      <c r="AE16" s="1"/>
      <c r="AF16" s="109" t="s">
        <v>66</v>
      </c>
      <c r="AH16" s="1"/>
      <c r="AI16" s="1"/>
      <c r="AJ16" s="1"/>
      <c r="AK16" s="1"/>
    </row>
    <row r="17">
      <c r="A17" s="27" t="s">
        <v>22</v>
      </c>
      <c r="B17" s="1"/>
      <c r="C17" s="1"/>
      <c r="D17" s="1"/>
      <c r="E17" s="1"/>
      <c r="F17" s="27" t="s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7" t="s">
        <v>25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27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38" t="s">
        <v>67</v>
      </c>
      <c r="F19" s="38" t="s">
        <v>67</v>
      </c>
      <c r="O19" s="38" t="s">
        <v>67</v>
      </c>
      <c r="W19" s="38" t="s">
        <v>67</v>
      </c>
      <c r="AF19" s="38" t="s">
        <v>67</v>
      </c>
    </row>
    <row r="20">
      <c r="A20" s="110" t="s">
        <v>68</v>
      </c>
      <c r="F20" s="111" t="s">
        <v>69</v>
      </c>
      <c r="J20" s="112"/>
      <c r="O20" s="100" t="s">
        <v>70</v>
      </c>
      <c r="W20" s="113" t="s">
        <v>71</v>
      </c>
      <c r="AF20" s="113" t="s">
        <v>72</v>
      </c>
    </row>
    <row r="21">
      <c r="AF21" s="44" t="s">
        <v>11</v>
      </c>
    </row>
    <row r="22">
      <c r="AF22" s="44" t="s">
        <v>16</v>
      </c>
    </row>
  </sheetData>
  <mergeCells count="26">
    <mergeCell ref="A3:D3"/>
    <mergeCell ref="F3:L3"/>
    <mergeCell ref="O3:U3"/>
    <mergeCell ref="W3:AC3"/>
    <mergeCell ref="AF3:AK3"/>
    <mergeCell ref="A5:B5"/>
    <mergeCell ref="F5:G5"/>
    <mergeCell ref="AF5:AG5"/>
    <mergeCell ref="AF11:AG11"/>
    <mergeCell ref="AF12:AI12"/>
    <mergeCell ref="O5:P5"/>
    <mergeCell ref="W5:X5"/>
    <mergeCell ref="AF6:AJ6"/>
    <mergeCell ref="A11:B11"/>
    <mergeCell ref="F11:G11"/>
    <mergeCell ref="O11:P11"/>
    <mergeCell ref="W11:X11"/>
    <mergeCell ref="AF19:AG19"/>
    <mergeCell ref="AF20:AJ20"/>
    <mergeCell ref="A19:B19"/>
    <mergeCell ref="F19:G19"/>
    <mergeCell ref="O19:P19"/>
    <mergeCell ref="W19:X19"/>
    <mergeCell ref="A20:C20"/>
    <mergeCell ref="F20:I20"/>
    <mergeCell ref="W20:AA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4" t="s">
        <v>73</v>
      </c>
      <c r="B1" s="115" t="s">
        <v>74</v>
      </c>
      <c r="C1" s="1"/>
    </row>
    <row r="2">
      <c r="A2" s="116" t="s">
        <v>7</v>
      </c>
      <c r="B2" s="16">
        <f>'P E'!D2/'Summary (up to 2024)'!F2</f>
        <v>-16650.04488</v>
      </c>
      <c r="C2" s="1"/>
    </row>
    <row r="3">
      <c r="A3" s="116" t="s">
        <v>22</v>
      </c>
      <c r="B3" s="16">
        <f>'P E'!D3/'Summary (up to 2024)'!F3</f>
        <v>1326.059158</v>
      </c>
      <c r="C3" s="1"/>
    </row>
    <row r="4">
      <c r="A4" s="116" t="s">
        <v>10</v>
      </c>
      <c r="B4" s="16">
        <f>'P E'!D4/'Summary (up to 2024)'!F4</f>
        <v>-156.8032023</v>
      </c>
      <c r="C4" s="1"/>
      <c r="E4" s="44" t="s">
        <v>75</v>
      </c>
    </row>
    <row r="5">
      <c r="A5" s="116" t="s">
        <v>8</v>
      </c>
      <c r="B5" s="117"/>
      <c r="C5" s="1"/>
    </row>
    <row r="6">
      <c r="A6" s="116" t="s">
        <v>17</v>
      </c>
      <c r="B6" s="16">
        <f>'P E'!D6/'Summary (up to 2024)'!F6</f>
        <v>377.486701</v>
      </c>
      <c r="C6" s="1"/>
    </row>
    <row r="7">
      <c r="A7" s="116" t="s">
        <v>28</v>
      </c>
      <c r="B7" s="16">
        <f>'P E'!D7/'Summary (up to 2024)'!F7</f>
        <v>-741.0592524</v>
      </c>
      <c r="C7" s="1"/>
    </row>
    <row r="8">
      <c r="A8" s="116" t="s">
        <v>27</v>
      </c>
      <c r="B8" s="16">
        <f>'P E'!D8/'Summary (up to 2024)'!F8</f>
        <v>147.205535</v>
      </c>
      <c r="C8" s="1"/>
    </row>
    <row r="9">
      <c r="A9" s="116" t="s">
        <v>11</v>
      </c>
      <c r="B9" s="16">
        <f>'P E'!D9/'Summary (up to 2024)'!F9</f>
        <v>447.6324368</v>
      </c>
      <c r="C9" s="1"/>
    </row>
    <row r="10">
      <c r="A10" s="116" t="s">
        <v>20</v>
      </c>
      <c r="B10" s="16">
        <f>'P E'!D10/'Summary (up to 2024)'!F10</f>
        <v>-347.3686981</v>
      </c>
      <c r="C10" s="1"/>
    </row>
    <row r="11">
      <c r="A11" s="116" t="s">
        <v>9</v>
      </c>
      <c r="B11" s="16">
        <f>'P E'!D11/'Summary (up to 2024)'!F11</f>
        <v>71.48748575</v>
      </c>
      <c r="C11" s="1"/>
    </row>
    <row r="12">
      <c r="A12" s="116" t="s">
        <v>26</v>
      </c>
      <c r="B12" s="16">
        <f>'P E'!D12/'Summary (up to 2024)'!F12</f>
        <v>1488.34208</v>
      </c>
      <c r="C12" s="1"/>
    </row>
    <row r="13">
      <c r="A13" s="116" t="s">
        <v>21</v>
      </c>
      <c r="B13" s="16">
        <f>'P E'!D13/'Summary (up to 2024)'!F13</f>
        <v>52.29774942</v>
      </c>
      <c r="C13" s="1"/>
    </row>
    <row r="14">
      <c r="A14" s="116" t="s">
        <v>13</v>
      </c>
      <c r="B14" s="16">
        <f>'P E'!D14/'Summary (up to 2024)'!F14</f>
        <v>45.63267909</v>
      </c>
      <c r="C14" s="1"/>
    </row>
    <row r="15">
      <c r="A15" s="116" t="s">
        <v>14</v>
      </c>
      <c r="B15" s="16">
        <f>'P E'!D15/'Summary (up to 2024)'!F15</f>
        <v>36.66413117</v>
      </c>
      <c r="C15" s="1"/>
    </row>
    <row r="16">
      <c r="A16" s="116" t="s">
        <v>12</v>
      </c>
      <c r="B16" s="16">
        <f>'P E'!D16/'Summary (up to 2024)'!F16</f>
        <v>333.6570019</v>
      </c>
      <c r="C16" s="1"/>
    </row>
    <row r="17">
      <c r="A17" s="116" t="s">
        <v>19</v>
      </c>
      <c r="B17" s="16">
        <f>'P E'!D17/'Summary (up to 2024)'!F17</f>
        <v>109.1703514</v>
      </c>
      <c r="C17" s="1"/>
    </row>
    <row r="18">
      <c r="A18" s="116" t="s">
        <v>23</v>
      </c>
      <c r="B18" s="16">
        <f>'P E'!D18/'Summary (up to 2024)'!F18</f>
        <v>1.480441691</v>
      </c>
      <c r="C18" s="1"/>
    </row>
    <row r="19">
      <c r="A19" s="116" t="s">
        <v>16</v>
      </c>
      <c r="B19" s="16">
        <f>'P E'!D19/'Summary (up to 2024)'!F19</f>
        <v>515.3913609</v>
      </c>
      <c r="C19" s="1"/>
    </row>
    <row r="20">
      <c r="A20" s="116" t="s">
        <v>15</v>
      </c>
      <c r="B20" s="16">
        <f>'P E'!D20/'Summary (up to 2024)'!F20</f>
        <v>11747.26567</v>
      </c>
      <c r="C20" s="1"/>
    </row>
    <row r="21">
      <c r="A21" s="116" t="s">
        <v>24</v>
      </c>
      <c r="B21" s="16">
        <f>'P E'!D21/'Summary (up to 2024)'!F21</f>
        <v>19.1082638</v>
      </c>
      <c r="C21" s="1"/>
    </row>
    <row r="22">
      <c r="A22" s="116" t="s">
        <v>18</v>
      </c>
      <c r="B22" s="16">
        <f>'P E'!D22/'Summary (up to 2024)'!F22</f>
        <v>-794.0355896</v>
      </c>
      <c r="C22" s="1"/>
    </row>
    <row r="23">
      <c r="A23" s="116" t="s">
        <v>25</v>
      </c>
      <c r="B23" s="117"/>
      <c r="C23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4" t="s">
        <v>76</v>
      </c>
    </row>
    <row r="3">
      <c r="A3" s="118" t="s">
        <v>5</v>
      </c>
      <c r="B3" s="118">
        <v>2022.0</v>
      </c>
      <c r="C3" s="118">
        <v>2023.0</v>
      </c>
      <c r="D3" s="118">
        <v>2024.0</v>
      </c>
    </row>
    <row r="4">
      <c r="A4" s="118" t="s">
        <v>7</v>
      </c>
      <c r="B4" s="119">
        <f>ROE!B2</f>
        <v>1.969588728</v>
      </c>
      <c r="C4" s="119">
        <f>ROE!C2</f>
        <v>1.719495116</v>
      </c>
      <c r="D4" s="119">
        <f>ROE!D2</f>
        <v>1.574125076</v>
      </c>
    </row>
    <row r="5">
      <c r="A5" s="118" t="s">
        <v>12</v>
      </c>
      <c r="B5" s="120">
        <f>ROE!B16</f>
        <v>0.4367546925</v>
      </c>
      <c r="C5" s="120">
        <f>ROE!C16</f>
        <v>0.3882392392</v>
      </c>
      <c r="D5" s="120">
        <f>ROE!D16</f>
        <v>0.3713334738</v>
      </c>
    </row>
    <row r="6">
      <c r="A6" s="118" t="s">
        <v>22</v>
      </c>
      <c r="B6" s="121">
        <f>ROE!B3</f>
        <v>0.02410958904</v>
      </c>
      <c r="C6" s="121">
        <f>ROE!C3</f>
        <v>0.01543717576</v>
      </c>
      <c r="D6" s="121">
        <f>ROE!D3</f>
        <v>0.02892649392</v>
      </c>
    </row>
    <row r="7">
      <c r="A7" s="118" t="s">
        <v>17</v>
      </c>
      <c r="B7" s="122">
        <f>ROE!B6</f>
        <v>0.6383302311</v>
      </c>
      <c r="C7" s="122">
        <f>ROE!C6</f>
        <v>0.7042114341</v>
      </c>
      <c r="D7" s="122">
        <f>ROE!D6</f>
        <v>0.474274332</v>
      </c>
    </row>
    <row r="8">
      <c r="A8" s="44" t="s">
        <v>77</v>
      </c>
    </row>
    <row r="9">
      <c r="A9" s="123" t="str">
        <f>A4</f>
        <v>AAPL</v>
      </c>
    </row>
    <row r="10">
      <c r="A10" s="123" t="str">
        <f>A7</f>
        <v>ASML</v>
      </c>
    </row>
    <row r="12">
      <c r="A12" s="118" t="s">
        <v>29</v>
      </c>
      <c r="B12" s="118">
        <v>2022.0</v>
      </c>
      <c r="C12" s="118">
        <v>2023.0</v>
      </c>
      <c r="D12" s="118">
        <v>2024.0</v>
      </c>
    </row>
    <row r="13">
      <c r="A13" s="118" t="s">
        <v>7</v>
      </c>
      <c r="B13" s="124">
        <f>ROA!B2</f>
        <v>0.2829244093</v>
      </c>
      <c r="C13" s="124">
        <f>ROA!C2</f>
        <v>0.2750312616</v>
      </c>
      <c r="D13" s="124">
        <f>ROA!D2</f>
        <v>0.2612620773</v>
      </c>
    </row>
    <row r="14">
      <c r="A14" s="118" t="s">
        <v>12</v>
      </c>
      <c r="B14" s="125">
        <f>ROA!B16</f>
        <v>0.1993695867</v>
      </c>
      <c r="C14" s="120">
        <f>ROA!C16</f>
        <v>0.186301518</v>
      </c>
      <c r="D14" s="125">
        <f>ROA!D16</f>
        <v>0.1907418689</v>
      </c>
    </row>
    <row r="15">
      <c r="A15" s="118" t="s">
        <v>22</v>
      </c>
      <c r="B15" s="126">
        <f>ROA!B3</f>
        <v>0.01953240604</v>
      </c>
      <c r="C15" s="126">
        <f>ROA!C3</f>
        <v>0.01260842284</v>
      </c>
      <c r="D15" s="126">
        <f>ROA!D3</f>
        <v>0.02393681032</v>
      </c>
    </row>
    <row r="16">
      <c r="A16" s="118" t="s">
        <v>17</v>
      </c>
      <c r="B16" s="127">
        <f>ROA!B6</f>
        <v>0.1549349318</v>
      </c>
      <c r="C16" s="122">
        <f>ROA!C6</f>
        <v>0.2055918141</v>
      </c>
      <c r="D16" s="127">
        <f>ROA!D6</f>
        <v>0.1710185878</v>
      </c>
    </row>
    <row r="17">
      <c r="A17" s="44" t="s">
        <v>77</v>
      </c>
    </row>
    <row r="18">
      <c r="A18" s="123" t="str">
        <f t="shared" ref="A18:A19" si="1">A13</f>
        <v>AAPL</v>
      </c>
    </row>
    <row r="19">
      <c r="A19" s="123" t="str">
        <f t="shared" si="1"/>
        <v>MSFT</v>
      </c>
      <c r="D19" s="128"/>
    </row>
    <row r="20">
      <c r="D20" s="129"/>
    </row>
    <row r="22">
      <c r="A22" s="118" t="s">
        <v>30</v>
      </c>
      <c r="B22" s="118">
        <v>2022.0</v>
      </c>
      <c r="C22" s="118">
        <v>2023.0</v>
      </c>
      <c r="D22" s="118">
        <v>2024.0</v>
      </c>
    </row>
    <row r="23">
      <c r="A23" s="130" t="s">
        <v>7</v>
      </c>
      <c r="B23" s="124">
        <f>ROIC!B2</f>
        <v>0.5861678044</v>
      </c>
      <c r="C23" s="124">
        <f>ROIC!C2</f>
        <v>0.5626888294</v>
      </c>
      <c r="D23" s="124">
        <f>ROIC!D2</f>
        <v>0.5717836965</v>
      </c>
    </row>
    <row r="24">
      <c r="A24" s="130" t="s">
        <v>12</v>
      </c>
      <c r="B24" s="120">
        <f>ROIC!B16</f>
        <v>0.3445332716</v>
      </c>
      <c r="C24" s="120">
        <f>ROIC!C16</f>
        <v>0.291783716</v>
      </c>
      <c r="D24" s="120">
        <f>ROIC!D16</f>
        <v>0.2828301492</v>
      </c>
    </row>
    <row r="25">
      <c r="A25" s="130" t="s">
        <v>22</v>
      </c>
      <c r="B25" s="126">
        <f>ROIC!B3</f>
        <v>0.02452186531</v>
      </c>
      <c r="C25" s="126">
        <f>ROIC!C3</f>
        <v>0.01745278813</v>
      </c>
      <c r="D25" s="126">
        <f>ROIC!D3</f>
        <v>0.02837587198</v>
      </c>
    </row>
    <row r="26">
      <c r="A26" s="130" t="s">
        <v>17</v>
      </c>
      <c r="B26" s="122">
        <f>ROIC!B6</f>
        <v>0.4236692894</v>
      </c>
      <c r="C26" s="122">
        <f>ROIC!C6</f>
        <v>0.4300079184</v>
      </c>
      <c r="D26" s="122">
        <f>ROIC!D6</f>
        <v>0.3235214179</v>
      </c>
    </row>
    <row r="27">
      <c r="A27" s="44" t="s">
        <v>77</v>
      </c>
    </row>
    <row r="28">
      <c r="A28" s="123" t="str">
        <f>A23</f>
        <v>AAPL</v>
      </c>
    </row>
    <row r="29">
      <c r="A29" s="123" t="str">
        <f>A26</f>
        <v>ASML</v>
      </c>
    </row>
    <row r="31">
      <c r="A31" s="118" t="s">
        <v>78</v>
      </c>
      <c r="B31" s="118">
        <v>2022.0</v>
      </c>
      <c r="C31" s="118">
        <v>2023.0</v>
      </c>
      <c r="D31" s="118">
        <v>2024.0</v>
      </c>
    </row>
    <row r="32">
      <c r="A32" s="130" t="s">
        <v>7</v>
      </c>
      <c r="B32" s="120">
        <f>'Net Profit Margin'!B2</f>
        <v>0.2530964071</v>
      </c>
      <c r="C32" s="120">
        <f>'Net Profit Margin'!C2</f>
        <v>0.2530623426</v>
      </c>
      <c r="D32" s="120">
        <f>'Net Profit Margin'!D2</f>
        <v>0.2397125577</v>
      </c>
    </row>
    <row r="33">
      <c r="A33" s="130" t="s">
        <v>12</v>
      </c>
      <c r="B33" s="119">
        <f>'Net Profit Margin'!B16</f>
        <v>0.3668633681</v>
      </c>
      <c r="C33" s="119">
        <f>'Net Profit Margin'!C16</f>
        <v>0.3414623788</v>
      </c>
      <c r="D33" s="119">
        <f>'Net Profit Margin'!D16</f>
        <v>0.3595597294</v>
      </c>
    </row>
    <row r="34">
      <c r="A34" s="130" t="s">
        <v>22</v>
      </c>
      <c r="B34" s="121">
        <f>'Net Profit Margin'!B3</f>
        <v>0.05592983348</v>
      </c>
      <c r="C34" s="121">
        <f>'Net Profit Margin'!C3</f>
        <v>0.03765432099</v>
      </c>
      <c r="D34" s="121">
        <f>'Net Profit Margin'!D3</f>
        <v>0.06364165212</v>
      </c>
    </row>
    <row r="35">
      <c r="A35" s="130" t="s">
        <v>17</v>
      </c>
      <c r="B35" s="125">
        <f>'Net Profit Margin'!B6</f>
        <v>0.265625738</v>
      </c>
      <c r="C35" s="125">
        <f>'Net Profit Margin'!C6</f>
        <v>0.2844494439</v>
      </c>
      <c r="D35" s="125">
        <f>'Net Profit Margin'!D6</f>
        <v>0.2678989063</v>
      </c>
    </row>
    <row r="36">
      <c r="A36" s="44" t="s">
        <v>77</v>
      </c>
    </row>
    <row r="37">
      <c r="A37" s="123" t="str">
        <f>A35</f>
        <v>ASML</v>
      </c>
    </row>
    <row r="38">
      <c r="A38" s="123" t="str">
        <f>A33</f>
        <v>MSFT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8.43"/>
    <col customWidth="1" min="4" max="6" width="20.0"/>
    <col customWidth="1" min="7" max="8" width="6.14"/>
    <col customWidth="1" min="9" max="9" width="14.14"/>
    <col customWidth="1" min="10" max="10" width="19.14"/>
    <col customWidth="1" min="11" max="11" width="19.86"/>
    <col customWidth="1" min="12" max="12" width="20.29"/>
    <col customWidth="1" min="13" max="13" width="23.43"/>
    <col customWidth="1" min="14" max="16" width="18.86"/>
    <col customWidth="1" min="17" max="17" width="20.14"/>
    <col customWidth="1" min="18" max="18" width="18.86"/>
    <col customWidth="1" min="19" max="19" width="17.71"/>
    <col customWidth="1" min="20" max="25" width="18.86"/>
    <col customWidth="1" min="26" max="26" width="16.57"/>
    <col customWidth="1" min="27" max="27" width="18.86"/>
    <col customWidth="1" min="28" max="28" width="18.0"/>
    <col customWidth="1" min="29" max="29" width="8.86"/>
    <col customWidth="1" min="30" max="30" width="27.57"/>
    <col customWidth="1" min="31" max="31" width="13.29"/>
    <col customWidth="1" min="32" max="32" width="16.71"/>
    <col customWidth="1" min="33" max="33" width="16.57"/>
    <col customWidth="1" min="34" max="35" width="6.71"/>
    <col customWidth="1" min="36" max="36" width="21.43"/>
    <col customWidth="1" min="37" max="37" width="6.71"/>
    <col customWidth="1" min="38" max="38" width="23.86"/>
    <col customWidth="1" min="39" max="39" width="25.43"/>
    <col customWidth="1" min="40" max="40" width="7.29"/>
    <col customWidth="1" min="41" max="41" width="17.0"/>
    <col customWidth="1" min="42" max="42" width="16.0"/>
    <col customWidth="1" min="43" max="43" width="20.57"/>
    <col customWidth="1" min="44" max="44" width="17.71"/>
    <col customWidth="1" min="45" max="45" width="13.0"/>
    <col customWidth="1" min="46" max="46" width="11.43"/>
    <col customWidth="1" min="47" max="47" width="10.86"/>
    <col customWidth="1" min="48" max="49" width="21.57"/>
    <col customWidth="1" min="50" max="50" width="9.0"/>
    <col customWidth="1" min="51" max="51" width="7.29"/>
    <col customWidth="1" min="52" max="52" width="9.0"/>
    <col customWidth="1" min="53" max="53" width="11.14"/>
    <col customWidth="1" min="54" max="54" width="13.86"/>
    <col customWidth="1" min="55" max="55" width="7.29"/>
  </cols>
  <sheetData>
    <row r="1">
      <c r="A1" s="130" t="s">
        <v>73</v>
      </c>
      <c r="B1" s="130" t="s">
        <v>79</v>
      </c>
      <c r="C1" s="131" t="s">
        <v>80</v>
      </c>
      <c r="D1" s="132" t="s">
        <v>81</v>
      </c>
      <c r="E1" s="132" t="s">
        <v>82</v>
      </c>
      <c r="F1" s="132" t="s">
        <v>83</v>
      </c>
      <c r="G1" s="130" t="s">
        <v>84</v>
      </c>
      <c r="H1" s="130" t="s">
        <v>85</v>
      </c>
      <c r="I1" s="130" t="s">
        <v>86</v>
      </c>
      <c r="J1" s="132" t="s">
        <v>87</v>
      </c>
      <c r="K1" s="132" t="s">
        <v>88</v>
      </c>
      <c r="L1" s="132" t="s">
        <v>89</v>
      </c>
      <c r="M1" s="133" t="s">
        <v>90</v>
      </c>
      <c r="N1" s="132" t="s">
        <v>91</v>
      </c>
      <c r="O1" s="132" t="s">
        <v>92</v>
      </c>
      <c r="P1" s="132" t="s">
        <v>93</v>
      </c>
      <c r="Q1" s="132" t="s">
        <v>94</v>
      </c>
      <c r="R1" s="132" t="s">
        <v>95</v>
      </c>
      <c r="S1" s="132" t="s">
        <v>96</v>
      </c>
      <c r="T1" s="132" t="s">
        <v>97</v>
      </c>
      <c r="U1" s="132" t="s">
        <v>98</v>
      </c>
      <c r="V1" s="132" t="s">
        <v>99</v>
      </c>
      <c r="W1" s="132" t="s">
        <v>100</v>
      </c>
      <c r="X1" s="132" t="s">
        <v>101</v>
      </c>
      <c r="Y1" s="132" t="s">
        <v>102</v>
      </c>
      <c r="Z1" s="132" t="s">
        <v>103</v>
      </c>
      <c r="AA1" s="132" t="s">
        <v>104</v>
      </c>
      <c r="AB1" s="132" t="s">
        <v>105</v>
      </c>
      <c r="AC1" s="134" t="s">
        <v>106</v>
      </c>
      <c r="AD1" s="130" t="s">
        <v>107</v>
      </c>
      <c r="AE1" s="135" t="s">
        <v>108</v>
      </c>
      <c r="AF1" s="135" t="s">
        <v>109</v>
      </c>
      <c r="AG1" s="135" t="s">
        <v>110</v>
      </c>
      <c r="AH1" s="135" t="s">
        <v>5</v>
      </c>
      <c r="AI1" s="135" t="s">
        <v>29</v>
      </c>
      <c r="AJ1" s="136" t="s">
        <v>111</v>
      </c>
      <c r="AK1" s="135" t="s">
        <v>30</v>
      </c>
      <c r="AL1" s="135" t="s">
        <v>112</v>
      </c>
      <c r="AM1" s="135" t="s">
        <v>113</v>
      </c>
      <c r="AN1" s="135" t="s">
        <v>114</v>
      </c>
      <c r="AO1" s="135" t="s">
        <v>115</v>
      </c>
      <c r="AP1" s="135" t="s">
        <v>116</v>
      </c>
      <c r="AQ1" s="132" t="s">
        <v>117</v>
      </c>
      <c r="AR1" s="135" t="s">
        <v>118</v>
      </c>
      <c r="AS1" s="135" t="s">
        <v>48</v>
      </c>
      <c r="AT1" s="135" t="s">
        <v>49</v>
      </c>
      <c r="AU1" s="135" t="s">
        <v>50</v>
      </c>
      <c r="AV1" s="132" t="s">
        <v>119</v>
      </c>
      <c r="AW1" s="132" t="s">
        <v>120</v>
      </c>
      <c r="AX1" s="135" t="s">
        <v>37</v>
      </c>
      <c r="AY1" s="135" t="s">
        <v>39</v>
      </c>
      <c r="AZ1" s="135" t="s">
        <v>121</v>
      </c>
      <c r="BA1" s="135" t="s">
        <v>40</v>
      </c>
      <c r="BB1" s="135" t="s">
        <v>122</v>
      </c>
      <c r="BC1" s="135" t="s">
        <v>123</v>
      </c>
    </row>
    <row r="2">
      <c r="A2" s="130" t="s">
        <v>7</v>
      </c>
      <c r="B2" s="130">
        <v>2022.0</v>
      </c>
      <c r="C2" s="131">
        <v>127.7616119384766</v>
      </c>
      <c r="D2" s="132">
        <v>3.94328E11</v>
      </c>
      <c r="E2" s="132">
        <v>1.70782E11</v>
      </c>
      <c r="F2" s="132">
        <v>9.9803E10</v>
      </c>
      <c r="G2" s="130">
        <v>6.11</v>
      </c>
      <c r="H2" s="130">
        <v>0.91</v>
      </c>
      <c r="I2" s="130">
        <v>1.6325819E10</v>
      </c>
      <c r="J2" s="132">
        <v>1.11443E11</v>
      </c>
      <c r="K2" s="132">
        <v>1.22151E11</v>
      </c>
      <c r="L2" s="132">
        <v>-1.0708E10</v>
      </c>
      <c r="M2" s="133">
        <v>1.4841E10</v>
      </c>
      <c r="N2" s="132">
        <v>2.3646E10</v>
      </c>
      <c r="O2" s="132">
        <v>1.35405E11</v>
      </c>
      <c r="P2" s="132">
        <v>3.52755E11</v>
      </c>
      <c r="Q2" s="132">
        <v>3.52755E11</v>
      </c>
      <c r="R2" s="132">
        <v>1.53982E11</v>
      </c>
      <c r="S2" s="132">
        <v>4.946E9</v>
      </c>
      <c r="T2" s="132">
        <v>5.0672E10</v>
      </c>
      <c r="U2" s="132">
        <v>5.0672E10</v>
      </c>
      <c r="V2" s="132">
        <v>1.3248E11</v>
      </c>
      <c r="W2" s="132">
        <v>1.70741E11</v>
      </c>
      <c r="X2" s="132">
        <v>1.30541E11</v>
      </c>
      <c r="Y2" s="132">
        <v>1.19437E11</v>
      </c>
      <c r="Z2" s="132">
        <v>2.931E9</v>
      </c>
      <c r="AA2" s="132">
        <v>1.19103E11</v>
      </c>
      <c r="AB2" s="132">
        <v>1.93E10</v>
      </c>
      <c r="AC2" s="134">
        <v>0.1620446168442441</v>
      </c>
      <c r="AD2" s="130"/>
      <c r="AE2" s="135">
        <v>0.4330963056136009</v>
      </c>
      <c r="AF2" s="135">
        <v>0.3028874439552859</v>
      </c>
      <c r="AG2" s="135">
        <v>0.2530964070519973</v>
      </c>
      <c r="AH2" s="135">
        <v>1.969588727502368</v>
      </c>
      <c r="AI2" s="135">
        <v>0.2829244092925685</v>
      </c>
      <c r="AJ2" s="136">
        <v>1.00082877097974E11</v>
      </c>
      <c r="AK2" s="135">
        <v>0.5861678044404918</v>
      </c>
      <c r="AL2" s="135">
        <v>0.1487029448012585</v>
      </c>
      <c r="AM2" s="135">
        <v>0.1331712175731091</v>
      </c>
      <c r="AN2" s="135">
        <v>2.614461635617304</v>
      </c>
      <c r="AO2" s="135">
        <v>40.74957352439441</v>
      </c>
      <c r="AP2" s="135">
        <v>0.9220335144927536</v>
      </c>
      <c r="AQ2" s="132">
        <v>1.08834E11</v>
      </c>
      <c r="AR2" s="135">
        <v>0.8337150780214645</v>
      </c>
      <c r="AS2" s="135">
        <v>0.8793560286267226</v>
      </c>
      <c r="AT2" s="135">
        <v>0.8472353911496149</v>
      </c>
      <c r="AU2" s="135">
        <v>0.1535634035146965</v>
      </c>
      <c r="AV2" s="132">
        <v>2.085812951655808E12</v>
      </c>
      <c r="AW2" s="132">
        <v>2.194646951655808E12</v>
      </c>
      <c r="AX2" s="135">
        <v>20.91024745310582</v>
      </c>
      <c r="AY2" s="135">
        <v>5.289538028381975</v>
      </c>
      <c r="AZ2" s="135">
        <v>18.71641064630176</v>
      </c>
      <c r="BA2" s="135">
        <v>16.81193610938945</v>
      </c>
      <c r="BB2" s="135">
        <v>0.007122640253147474</v>
      </c>
      <c r="BC2" s="135">
        <v>41.16302793763435</v>
      </c>
    </row>
    <row r="3">
      <c r="A3" s="130" t="s">
        <v>7</v>
      </c>
      <c r="B3" s="130">
        <v>2023.0</v>
      </c>
      <c r="C3" s="131">
        <v>190.3750915527344</v>
      </c>
      <c r="D3" s="132">
        <v>3.83285E11</v>
      </c>
      <c r="E3" s="132">
        <v>1.69148E11</v>
      </c>
      <c r="F3" s="132">
        <v>9.6995E10</v>
      </c>
      <c r="G3" s="130">
        <v>6.13</v>
      </c>
      <c r="H3" s="130">
        <v>0.95</v>
      </c>
      <c r="I3" s="130">
        <v>1.5812547E10</v>
      </c>
      <c r="J3" s="132">
        <v>9.9584E10</v>
      </c>
      <c r="K3" s="132">
        <v>1.10543E11</v>
      </c>
      <c r="L3" s="132">
        <v>-1.0959E10</v>
      </c>
      <c r="M3" s="133">
        <v>1.5025E10</v>
      </c>
      <c r="N3" s="132">
        <v>2.9965E10</v>
      </c>
      <c r="O3" s="132">
        <v>1.43566E11</v>
      </c>
      <c r="P3" s="132">
        <v>3.52583E11</v>
      </c>
      <c r="Q3" s="132">
        <v>3.52669E11</v>
      </c>
      <c r="R3" s="132">
        <v>1.45308E11</v>
      </c>
      <c r="S3" s="132">
        <v>6.331E9</v>
      </c>
      <c r="T3" s="132">
        <v>6.2146E10</v>
      </c>
      <c r="U3" s="132">
        <v>5.6409E10</v>
      </c>
      <c r="V3" s="132">
        <v>1.11088E11</v>
      </c>
      <c r="W3" s="132">
        <v>1.73234E11</v>
      </c>
      <c r="X3" s="132">
        <v>1.2582E11</v>
      </c>
      <c r="Y3" s="132">
        <v>1.14301E11</v>
      </c>
      <c r="Z3" s="132">
        <v>3.933E9</v>
      </c>
      <c r="AA3" s="132">
        <v>1.13736E11</v>
      </c>
      <c r="AB3" s="132">
        <v>1.6741E10</v>
      </c>
      <c r="AC3" s="134">
        <v>0.1471917422803686</v>
      </c>
      <c r="AD3" s="130"/>
      <c r="AE3" s="135">
        <v>0.4413112957720756</v>
      </c>
      <c r="AF3" s="135">
        <v>0.2982141226502472</v>
      </c>
      <c r="AG3" s="135">
        <v>0.2530623426432028</v>
      </c>
      <c r="AH3" s="135">
        <v>1.719495116027584</v>
      </c>
      <c r="AI3" s="135">
        <v>0.27503126160791</v>
      </c>
      <c r="AJ3" s="136">
        <v>9.747683666561159E10</v>
      </c>
      <c r="AK3" s="135">
        <v>0.5626888293615087</v>
      </c>
      <c r="AL3" s="135">
        <v>0.1549048920047425</v>
      </c>
      <c r="AM3" s="135">
        <v>0.1508776510282776</v>
      </c>
      <c r="AN3" s="135">
        <v>1.787532584558942</v>
      </c>
      <c r="AO3" s="135">
        <v>29.06203915586067</v>
      </c>
      <c r="AP3" s="135">
        <v>0.9950939795477459</v>
      </c>
      <c r="AQ3" s="132">
        <v>8.1123E10</v>
      </c>
      <c r="AR3" s="135">
        <v>0.6447544110634239</v>
      </c>
      <c r="AS3" s="135">
        <v>0.9880116717592975</v>
      </c>
      <c r="AT3" s="135">
        <v>0.9444421504665951</v>
      </c>
      <c r="AU3" s="135">
        <v>0.2062171387673081</v>
      </c>
      <c r="AV3" s="132">
        <v>3.010315082806915E12</v>
      </c>
      <c r="AW3" s="132">
        <v>3.091438082806915E12</v>
      </c>
      <c r="AX3" s="135">
        <v>31.0562955224689</v>
      </c>
      <c r="AY3" s="135">
        <v>7.853986153402599</v>
      </c>
      <c r="AZ3" s="135">
        <v>30.2289030648188</v>
      </c>
      <c r="BA3" s="135">
        <v>24.57032334133616</v>
      </c>
      <c r="BB3" s="135">
        <v>0.004990148617929083</v>
      </c>
      <c r="BC3" s="135">
        <v>48.43940209839595</v>
      </c>
    </row>
    <row r="4">
      <c r="A4" s="130" t="s">
        <v>7</v>
      </c>
      <c r="B4" s="130">
        <v>2024.0</v>
      </c>
      <c r="C4" s="131">
        <v>248.8302154541016</v>
      </c>
      <c r="D4" s="132">
        <v>3.91035E11</v>
      </c>
      <c r="E4" s="132">
        <v>1.80683E11</v>
      </c>
      <c r="F4" s="132">
        <v>9.3736E10</v>
      </c>
      <c r="G4" s="130">
        <v>6.08</v>
      </c>
      <c r="H4" s="130">
        <v>0.99</v>
      </c>
      <c r="I4" s="130">
        <v>1.5408095E10</v>
      </c>
      <c r="J4" s="132">
        <v>1.08807E11</v>
      </c>
      <c r="K4" s="132">
        <v>1.18254E11</v>
      </c>
      <c r="L4" s="132">
        <v>-9.447E9</v>
      </c>
      <c r="M4" s="133">
        <v>1.5234E10</v>
      </c>
      <c r="N4" s="132">
        <v>2.9943E10</v>
      </c>
      <c r="O4" s="132">
        <v>1.52987E11</v>
      </c>
      <c r="P4" s="132">
        <v>3.6498E11</v>
      </c>
      <c r="Q4" s="132">
        <v>3.587815E11</v>
      </c>
      <c r="R4" s="132">
        <v>1.76392E11</v>
      </c>
      <c r="S4" s="132">
        <v>7.286E9</v>
      </c>
      <c r="T4" s="132">
        <v>5.695E10</v>
      </c>
      <c r="U4" s="132">
        <v>5.9548E10</v>
      </c>
      <c r="V4" s="132">
        <v>1.06629E11</v>
      </c>
      <c r="W4" s="132">
        <v>1.63579E11</v>
      </c>
      <c r="X4" s="132">
        <v>1.34661E11</v>
      </c>
      <c r="Y4" s="132">
        <v>1.23216E11</v>
      </c>
      <c r="Z4" s="132">
        <v>3.933E9</v>
      </c>
      <c r="AA4" s="132">
        <v>1.23485E11</v>
      </c>
      <c r="AB4" s="132">
        <v>2.9749E10</v>
      </c>
      <c r="AC4" s="134">
        <v>0.2409118516418998</v>
      </c>
      <c r="AD4" s="130"/>
      <c r="AE4" s="135">
        <v>0.4620634981523393</v>
      </c>
      <c r="AF4" s="135">
        <v>0.3151022287007557</v>
      </c>
      <c r="AG4" s="135">
        <v>0.2397125576994387</v>
      </c>
      <c r="AH4" s="135">
        <v>1.574125075569289</v>
      </c>
      <c r="AI4" s="135">
        <v>0.2612620773367635</v>
      </c>
      <c r="AJ4" s="136">
        <v>9.353180528809167E10</v>
      </c>
      <c r="AK4" s="135">
        <v>0.5717836964897186</v>
      </c>
      <c r="AL4" s="135">
        <v>0.1625202696936076</v>
      </c>
      <c r="AM4" s="135">
        <v>0.1400093743968678</v>
      </c>
      <c r="AN4" s="135">
        <v>1.872326602282704</v>
      </c>
      <c r="AO4" s="135">
        <v>31.32875667429443</v>
      </c>
      <c r="AP4" s="135">
        <v>1.109022873702276</v>
      </c>
      <c r="AQ4" s="132">
        <v>7.6686E10</v>
      </c>
      <c r="AR4" s="135">
        <v>0.5694744580836323</v>
      </c>
      <c r="AS4" s="135">
        <v>0.8673125765340832</v>
      </c>
      <c r="AT4" s="135">
        <v>0.8260068483831466</v>
      </c>
      <c r="AU4" s="135">
        <v>0.1697525964896367</v>
      </c>
      <c r="AV4" s="132">
        <v>3.833999598587265E12</v>
      </c>
      <c r="AW4" s="132">
        <v>3.910685598587265E12</v>
      </c>
      <c r="AX4" s="135">
        <v>40.92602227863512</v>
      </c>
      <c r="AY4" s="135">
        <v>9.804747908978134</v>
      </c>
      <c r="AZ4" s="135">
        <v>35.23669983169525</v>
      </c>
      <c r="BA4" s="135">
        <v>29.04096656483514</v>
      </c>
      <c r="BB4" s="135">
        <v>0.003978616496366022</v>
      </c>
      <c r="BC4" s="135">
        <v>67.32220541856479</v>
      </c>
    </row>
    <row r="5">
      <c r="A5" s="130" t="s">
        <v>7</v>
      </c>
      <c r="B5" s="130">
        <v>2025.0</v>
      </c>
      <c r="C5" s="131">
        <v>271.3558349609375</v>
      </c>
      <c r="D5" s="132">
        <v>4.16161E11</v>
      </c>
      <c r="E5" s="132">
        <v>1.95201E11</v>
      </c>
      <c r="F5" s="132">
        <v>1.1201E11</v>
      </c>
      <c r="G5" s="130">
        <v>7.46</v>
      </c>
      <c r="H5" s="130">
        <v>1.03</v>
      </c>
      <c r="I5" s="130">
        <v>1.5004697E10</v>
      </c>
      <c r="J5" s="132">
        <v>9.8767E10</v>
      </c>
      <c r="K5" s="132">
        <v>1.11482E11</v>
      </c>
      <c r="L5" s="132">
        <v>-1.2715E10</v>
      </c>
      <c r="M5" s="133">
        <v>1.5421E10</v>
      </c>
      <c r="N5" s="132">
        <v>3.5934E10</v>
      </c>
      <c r="O5" s="132">
        <v>1.47957E11</v>
      </c>
      <c r="P5" s="132">
        <v>3.59241E11</v>
      </c>
      <c r="Q5" s="132">
        <v>3.621105E11</v>
      </c>
      <c r="R5" s="132">
        <v>1.65631E11</v>
      </c>
      <c r="S5" s="132">
        <v>5.718E9</v>
      </c>
      <c r="T5" s="132">
        <v>7.3733E10</v>
      </c>
      <c r="U5" s="132">
        <v>6.53415E10</v>
      </c>
      <c r="V5" s="132">
        <v>9.8657E10</v>
      </c>
      <c r="W5" s="132">
        <v>1.7239E11</v>
      </c>
      <c r="X5" s="132">
        <v>1.44748E11</v>
      </c>
      <c r="Y5" s="132">
        <v>1.3305E11</v>
      </c>
      <c r="Z5" s="132">
        <v>3.933E9</v>
      </c>
      <c r="AA5" s="132">
        <v>1.32729E11</v>
      </c>
      <c r="AB5" s="132">
        <v>2.0719E10</v>
      </c>
      <c r="AC5" s="134">
        <v>0.1561000233558604</v>
      </c>
      <c r="AD5" s="130"/>
      <c r="AE5" s="135">
        <v>0.4690516410716045</v>
      </c>
      <c r="AF5" s="135">
        <v>0.3197079976259188</v>
      </c>
      <c r="AG5" s="135">
        <v>0.2691506412181824</v>
      </c>
      <c r="AH5" s="135">
        <v>1.714224497448023</v>
      </c>
      <c r="AI5" s="135">
        <v>0.3093254683307996</v>
      </c>
      <c r="AJ5" s="136">
        <v>1.122808918925028E11</v>
      </c>
      <c r="AK5" s="135">
        <v>0.6513190550061069</v>
      </c>
      <c r="AL5" s="135">
        <v>0.1376752075707526</v>
      </c>
      <c r="AM5" s="135">
        <v>0.1561351463545516</v>
      </c>
      <c r="AN5" s="135">
        <v>1.338030461258866</v>
      </c>
      <c r="AO5" s="135">
        <v>33.82913806254767</v>
      </c>
      <c r="AP5" s="135">
        <v>1.129995844187437</v>
      </c>
      <c r="AQ5" s="132">
        <v>6.2723E10</v>
      </c>
      <c r="AR5" s="135">
        <v>0.4333255036339017</v>
      </c>
      <c r="AS5" s="135">
        <v>0.8932929222186667</v>
      </c>
      <c r="AT5" s="135">
        <v>0.858770399261008</v>
      </c>
      <c r="AU5" s="135">
        <v>0.216952140601699</v>
      </c>
      <c r="AV5" s="132">
        <v>4.071612082770874E12</v>
      </c>
      <c r="AW5" s="132">
        <v>4.134335082770874E12</v>
      </c>
      <c r="AX5" s="135">
        <v>36.37477680441521</v>
      </c>
      <c r="AY5" s="135">
        <v>9.783742548607087</v>
      </c>
      <c r="AZ5" s="135">
        <v>41.22441790042093</v>
      </c>
      <c r="BA5" s="135">
        <v>28.56229504221733</v>
      </c>
      <c r="BB5" s="135">
        <v>0.003795754014828064</v>
      </c>
      <c r="BC5" s="135">
        <v>55.22102834240943</v>
      </c>
    </row>
    <row r="6">
      <c r="A6" s="130" t="s">
        <v>22</v>
      </c>
      <c r="B6" s="130">
        <v>2022.0</v>
      </c>
      <c r="C6" s="131">
        <v>64.7699966430664</v>
      </c>
      <c r="D6" s="132">
        <v>2.3601E10</v>
      </c>
      <c r="E6" s="132">
        <v>1.0603E10</v>
      </c>
      <c r="F6" s="132">
        <v>1.32E9</v>
      </c>
      <c r="G6" s="130">
        <v>0.84</v>
      </c>
      <c r="H6" s="130"/>
      <c r="I6" s="130">
        <v>1.571E9</v>
      </c>
      <c r="J6" s="132">
        <v>3.115E9</v>
      </c>
      <c r="K6" s="132">
        <v>3.565E9</v>
      </c>
      <c r="L6" s="132">
        <v>-4.5E8</v>
      </c>
      <c r="M6" s="133"/>
      <c r="N6" s="132">
        <v>4.835E9</v>
      </c>
      <c r="O6" s="132">
        <v>1.5019E10</v>
      </c>
      <c r="P6" s="132">
        <v>6.758E10</v>
      </c>
      <c r="Q6" s="132">
        <v>6.758E10</v>
      </c>
      <c r="R6" s="132">
        <v>6.369E9</v>
      </c>
      <c r="S6" s="132">
        <v>3.771E9</v>
      </c>
      <c r="T6" s="132">
        <v>5.475E10</v>
      </c>
      <c r="U6" s="132">
        <v>5.475E10</v>
      </c>
      <c r="V6" s="132">
        <v>2.863E9</v>
      </c>
      <c r="W6" s="132">
        <v>5.7217E10</v>
      </c>
      <c r="X6" s="132">
        <v>5.534E9</v>
      </c>
      <c r="Y6" s="132">
        <v>1.272E9</v>
      </c>
      <c r="Z6" s="132">
        <v>8.8E7</v>
      </c>
      <c r="AA6" s="132">
        <v>1.184E9</v>
      </c>
      <c r="AB6" s="132">
        <v>-1.22E8</v>
      </c>
      <c r="AC6" s="134">
        <v>-0.1030405405405405</v>
      </c>
      <c r="AD6" s="130"/>
      <c r="AE6" s="135">
        <v>0.4492606245498072</v>
      </c>
      <c r="AF6" s="135">
        <v>0.05389602135502733</v>
      </c>
      <c r="AG6" s="135">
        <v>0.05592983348163214</v>
      </c>
      <c r="AH6" s="135">
        <v>0.02410958904109589</v>
      </c>
      <c r="AI6" s="135">
        <v>0.01953240603728914</v>
      </c>
      <c r="AJ6" s="136">
        <v>1.403067567567568E9</v>
      </c>
      <c r="AK6" s="135">
        <v>0.02452186531218987</v>
      </c>
      <c r="AL6" s="135"/>
      <c r="AM6" s="135"/>
      <c r="AN6" s="135">
        <v>0.05229223744292238</v>
      </c>
      <c r="AO6" s="135">
        <v>14.45454545454546</v>
      </c>
      <c r="AP6" s="135">
        <v>1.245197345441844</v>
      </c>
      <c r="AQ6" s="132">
        <v>-1.972E9</v>
      </c>
      <c r="AR6" s="135">
        <v>-0.3563426093241778</v>
      </c>
      <c r="AS6" s="135">
        <v>2.358140995446695</v>
      </c>
      <c r="AT6" s="135">
        <v>1.766054325639818</v>
      </c>
      <c r="AU6" s="135">
        <v>0.7591458627728058</v>
      </c>
      <c r="AV6" s="132">
        <v>1.017536647262573E11</v>
      </c>
      <c r="AW6" s="132">
        <v>9.978166472625732E10</v>
      </c>
      <c r="AX6" s="135">
        <v>77.10713886079334</v>
      </c>
      <c r="AY6" s="135">
        <v>4.311413275973786</v>
      </c>
      <c r="AZ6" s="135">
        <v>32.66570296188036</v>
      </c>
      <c r="BA6" s="135">
        <v>18.03065860611806</v>
      </c>
      <c r="BB6" s="135"/>
      <c r="BC6" s="135">
        <v>1.858514424223878</v>
      </c>
    </row>
    <row r="7">
      <c r="A7" s="130" t="s">
        <v>22</v>
      </c>
      <c r="B7" s="130">
        <v>2023.0</v>
      </c>
      <c r="C7" s="131">
        <v>147.4100036621094</v>
      </c>
      <c r="D7" s="132">
        <v>2.268E10</v>
      </c>
      <c r="E7" s="132">
        <v>1.046E10</v>
      </c>
      <c r="F7" s="132">
        <v>8.54E8</v>
      </c>
      <c r="G7" s="130">
        <v>0.53</v>
      </c>
      <c r="H7" s="130"/>
      <c r="I7" s="130">
        <v>1.625E9</v>
      </c>
      <c r="J7" s="132">
        <v>1.121E9</v>
      </c>
      <c r="K7" s="132">
        <v>1.667E9</v>
      </c>
      <c r="L7" s="132">
        <v>-5.46E8</v>
      </c>
      <c r="M7" s="133"/>
      <c r="N7" s="132">
        <v>3.933E9</v>
      </c>
      <c r="O7" s="132">
        <v>1.6768E10</v>
      </c>
      <c r="P7" s="132">
        <v>6.7885E10</v>
      </c>
      <c r="Q7" s="132">
        <v>6.77325E10</v>
      </c>
      <c r="R7" s="132">
        <v>6.689E9</v>
      </c>
      <c r="S7" s="132">
        <v>4.351E9</v>
      </c>
      <c r="T7" s="132">
        <v>5.5892E10</v>
      </c>
      <c r="U7" s="132">
        <v>5.5321E10</v>
      </c>
      <c r="V7" s="132">
        <v>3.003E9</v>
      </c>
      <c r="W7" s="132">
        <v>5.836E10</v>
      </c>
      <c r="X7" s="132">
        <v>4.051E9</v>
      </c>
      <c r="Y7" s="132">
        <v>5.98E8</v>
      </c>
      <c r="Z7" s="132">
        <v>1.06E8</v>
      </c>
      <c r="AA7" s="132">
        <v>4.92E8</v>
      </c>
      <c r="AB7" s="132">
        <v>-3.46E8</v>
      </c>
      <c r="AC7" s="134">
        <v>-0.7032520325203252</v>
      </c>
      <c r="AD7" s="130"/>
      <c r="AE7" s="135">
        <v>0.4611992945326279</v>
      </c>
      <c r="AF7" s="135">
        <v>0.0263668430335097</v>
      </c>
      <c r="AG7" s="135">
        <v>0.03765432098765432</v>
      </c>
      <c r="AH7" s="135">
        <v>0.01543717575604201</v>
      </c>
      <c r="AI7" s="135">
        <v>0.01260842283984793</v>
      </c>
      <c r="AJ7" s="136">
        <v>1.018544715447154E9</v>
      </c>
      <c r="AK7" s="135">
        <v>0.01745278813309038</v>
      </c>
      <c r="AL7" s="135"/>
      <c r="AM7" s="135"/>
      <c r="AN7" s="135">
        <v>0.05372861948042654</v>
      </c>
      <c r="AO7" s="135">
        <v>5.641509433962264</v>
      </c>
      <c r="AP7" s="135">
        <v>0.5551115551115551</v>
      </c>
      <c r="AQ7" s="132">
        <v>-9.3E8</v>
      </c>
      <c r="AR7" s="135">
        <v>-0.2295729449518637</v>
      </c>
      <c r="AS7" s="135">
        <v>2.506802212587831</v>
      </c>
      <c r="AT7" s="135">
        <v>1.856331290177904</v>
      </c>
      <c r="AU7" s="135">
        <v>0.5879802661085364</v>
      </c>
      <c r="AV7" s="132">
        <v>2.395412559509277E11</v>
      </c>
      <c r="AW7" s="132">
        <v>2.386112559509277E11</v>
      </c>
      <c r="AX7" s="135">
        <v>278.1320823813384</v>
      </c>
      <c r="AY7" s="135">
        <v>10.56178377208676</v>
      </c>
      <c r="AZ7" s="135">
        <v>213.6853309107295</v>
      </c>
      <c r="BA7" s="135">
        <v>58.90181583582516</v>
      </c>
      <c r="BB7" s="135"/>
      <c r="BC7" s="135">
        <v>4.28578787574121</v>
      </c>
    </row>
    <row r="8">
      <c r="A8" s="130" t="s">
        <v>22</v>
      </c>
      <c r="B8" s="130">
        <v>2024.0</v>
      </c>
      <c r="C8" s="131">
        <v>120.7900009155273</v>
      </c>
      <c r="D8" s="132">
        <v>2.5785E10</v>
      </c>
      <c r="E8" s="132">
        <v>1.2725E10</v>
      </c>
      <c r="F8" s="132">
        <v>1.641E9</v>
      </c>
      <c r="G8" s="130">
        <v>1.0</v>
      </c>
      <c r="H8" s="130"/>
      <c r="I8" s="130">
        <v>1.637E9</v>
      </c>
      <c r="J8" s="132">
        <v>2.405E9</v>
      </c>
      <c r="K8" s="132">
        <v>3.041E9</v>
      </c>
      <c r="L8" s="132">
        <v>-6.36E8</v>
      </c>
      <c r="M8" s="133"/>
      <c r="N8" s="132">
        <v>3.787E9</v>
      </c>
      <c r="O8" s="132">
        <v>1.9049E10</v>
      </c>
      <c r="P8" s="132">
        <v>6.9226E10</v>
      </c>
      <c r="Q8" s="132">
        <v>6.85555E10</v>
      </c>
      <c r="R8" s="132">
        <v>7.281E9</v>
      </c>
      <c r="S8" s="132">
        <v>5.734E9</v>
      </c>
      <c r="T8" s="132">
        <v>5.7568E10</v>
      </c>
      <c r="U8" s="132">
        <v>5.673E10</v>
      </c>
      <c r="V8" s="132">
        <v>2.212E9</v>
      </c>
      <c r="W8" s="132">
        <v>5.9289E10</v>
      </c>
      <c r="X8" s="132">
        <v>5.145E9</v>
      </c>
      <c r="Y8" s="132">
        <v>2.081E9</v>
      </c>
      <c r="Z8" s="132">
        <v>9.2E7</v>
      </c>
      <c r="AA8" s="132">
        <v>1.989E9</v>
      </c>
      <c r="AB8" s="132">
        <v>3.81E8</v>
      </c>
      <c r="AC8" s="134">
        <v>0.191553544494721</v>
      </c>
      <c r="AD8" s="130"/>
      <c r="AE8" s="135">
        <v>0.4935039751793678</v>
      </c>
      <c r="AF8" s="135">
        <v>0.08070583672677914</v>
      </c>
      <c r="AG8" s="135">
        <v>0.06364165212332752</v>
      </c>
      <c r="AH8" s="135">
        <v>0.02892649391856161</v>
      </c>
      <c r="AI8" s="135">
        <v>0.02393681032156428</v>
      </c>
      <c r="AJ8" s="136">
        <v>1.682377073906486E9</v>
      </c>
      <c r="AK8" s="135">
        <v>0.02837587198142127</v>
      </c>
      <c r="AL8" s="135"/>
      <c r="AM8" s="135"/>
      <c r="AN8" s="135">
        <v>0.03842412451361868</v>
      </c>
      <c r="AO8" s="135">
        <v>22.6195652173913</v>
      </c>
      <c r="AP8" s="135">
        <v>1.374773960216998</v>
      </c>
      <c r="AQ8" s="132">
        <v>-1.575E9</v>
      </c>
      <c r="AR8" s="135">
        <v>-0.3061224489795918</v>
      </c>
      <c r="AS8" s="135">
        <v>2.61626150254086</v>
      </c>
      <c r="AT8" s="135">
        <v>1.828732316989425</v>
      </c>
      <c r="AU8" s="135">
        <v>0.5201208625188848</v>
      </c>
      <c r="AV8" s="132">
        <v>1.977332314987183E11</v>
      </c>
      <c r="AW8" s="132">
        <v>1.961582314987183E11</v>
      </c>
      <c r="AX8" s="135">
        <v>120.7900009155273</v>
      </c>
      <c r="AY8" s="135">
        <v>7.668537192116279</v>
      </c>
      <c r="AZ8" s="135">
        <v>82.21755987472693</v>
      </c>
      <c r="BA8" s="135">
        <v>38.12599251675768</v>
      </c>
      <c r="BB8" s="135"/>
      <c r="BC8" s="135">
        <v>3.434776811748163</v>
      </c>
    </row>
    <row r="9">
      <c r="A9" s="130" t="s">
        <v>22</v>
      </c>
      <c r="B9" s="130">
        <v>2025.0</v>
      </c>
      <c r="C9" s="131">
        <v>214.1600036621094</v>
      </c>
      <c r="D9" s="132">
        <v>3.4639E10</v>
      </c>
      <c r="E9" s="132">
        <v>1.7152E10</v>
      </c>
      <c r="F9" s="132">
        <v>4.335E9</v>
      </c>
      <c r="G9" s="130">
        <v>2.65</v>
      </c>
      <c r="H9" s="130"/>
      <c r="I9" s="130">
        <v>1.636E9</v>
      </c>
      <c r="J9" s="132">
        <v>6.735E9</v>
      </c>
      <c r="K9" s="132">
        <v>7.709E9</v>
      </c>
      <c r="L9" s="132">
        <v>-9.74E8</v>
      </c>
      <c r="M9" s="133"/>
      <c r="N9" s="132">
        <v>5.539E9</v>
      </c>
      <c r="O9" s="132">
        <v>2.6947E10</v>
      </c>
      <c r="P9" s="132">
        <v>7.6926E10</v>
      </c>
      <c r="Q9" s="132">
        <v>7.3076E10</v>
      </c>
      <c r="R9" s="132">
        <v>9.455E9</v>
      </c>
      <c r="S9" s="132">
        <v>7.92E9</v>
      </c>
      <c r="T9" s="132">
        <v>6.2999E10</v>
      </c>
      <c r="U9" s="132">
        <v>6.02835E10</v>
      </c>
      <c r="V9" s="132">
        <v>3.847E9</v>
      </c>
      <c r="W9" s="132">
        <v>6.6221E10</v>
      </c>
      <c r="X9" s="132">
        <v>7.275E9</v>
      </c>
      <c r="Y9" s="132">
        <v>4.271E9</v>
      </c>
      <c r="Z9" s="132">
        <v>1.31E8</v>
      </c>
      <c r="AA9" s="132">
        <v>4.14E9</v>
      </c>
      <c r="AB9" s="132">
        <v>-1.03E8</v>
      </c>
      <c r="AC9" s="134">
        <v>-0.0248792270531401</v>
      </c>
      <c r="AD9" s="130"/>
      <c r="AE9" s="135">
        <v>0.4951644100580271</v>
      </c>
      <c r="AF9" s="135">
        <v>0.1233003262218886</v>
      </c>
      <c r="AG9" s="135">
        <v>0.1251479546176275</v>
      </c>
      <c r="AH9" s="135">
        <v>0.07191022419069895</v>
      </c>
      <c r="AI9" s="135">
        <v>0.0593218019596037</v>
      </c>
      <c r="AJ9" s="136">
        <v>4.377259178743961E9</v>
      </c>
      <c r="AK9" s="135">
        <v>0.06610077133755095</v>
      </c>
      <c r="AL9" s="135"/>
      <c r="AM9" s="135"/>
      <c r="AN9" s="135">
        <v>0.0610644613406562</v>
      </c>
      <c r="AO9" s="135">
        <v>32.6030534351145</v>
      </c>
      <c r="AP9" s="135">
        <v>2.003899142188719</v>
      </c>
      <c r="AQ9" s="132">
        <v>-1.692E9</v>
      </c>
      <c r="AR9" s="135">
        <v>-0.2325773195876289</v>
      </c>
      <c r="AS9" s="135">
        <v>2.850026441036489</v>
      </c>
      <c r="AT9" s="135">
        <v>2.012374405076679</v>
      </c>
      <c r="AU9" s="135">
        <v>0.5858276044420941</v>
      </c>
      <c r="AV9" s="132">
        <v>3.503657659912109E11</v>
      </c>
      <c r="AW9" s="132">
        <v>3.486737659912109E11</v>
      </c>
      <c r="AX9" s="135">
        <v>80.8150957215507</v>
      </c>
      <c r="AY9" s="135">
        <v>10.11477715844022</v>
      </c>
      <c r="AZ9" s="135">
        <v>52.02164305734387</v>
      </c>
      <c r="BA9" s="135">
        <v>47.92766542834514</v>
      </c>
      <c r="BB9" s="135"/>
      <c r="BC9" s="135">
        <v>5.561449641918299</v>
      </c>
    </row>
    <row r="10">
      <c r="A10" s="130" t="s">
        <v>10</v>
      </c>
      <c r="B10" s="130">
        <v>2022.0</v>
      </c>
      <c r="C10" s="131">
        <v>235.2110443115234</v>
      </c>
      <c r="D10" s="132">
        <v>2.6323E10</v>
      </c>
      <c r="E10" s="132">
        <v>1.9917E10</v>
      </c>
      <c r="F10" s="132">
        <v>6.552E9</v>
      </c>
      <c r="G10" s="130">
        <v>12.11</v>
      </c>
      <c r="H10" s="130">
        <v>7.76</v>
      </c>
      <c r="I10" s="130">
        <v>5.41E8</v>
      </c>
      <c r="J10" s="132">
        <v>8.785E9</v>
      </c>
      <c r="K10" s="132">
        <v>9.721E9</v>
      </c>
      <c r="L10" s="132">
        <v>-9.36E8</v>
      </c>
      <c r="M10" s="133">
        <v>4.196E9</v>
      </c>
      <c r="N10" s="132">
        <v>7.629E9</v>
      </c>
      <c r="O10" s="132">
        <v>2.2186E10</v>
      </c>
      <c r="P10" s="132">
        <v>6.5121E10</v>
      </c>
      <c r="Q10" s="132">
        <v>6.5121E10</v>
      </c>
      <c r="R10" s="132">
        <v>1.5687E10</v>
      </c>
      <c r="S10" s="132">
        <v>4.93E9</v>
      </c>
      <c r="T10" s="132">
        <v>3.661E9</v>
      </c>
      <c r="U10" s="132">
        <v>3.661E9</v>
      </c>
      <c r="V10" s="132">
        <v>3.8945E10</v>
      </c>
      <c r="W10" s="132">
        <v>4.2606E10</v>
      </c>
      <c r="X10" s="132">
        <v>1.2169E10</v>
      </c>
      <c r="Y10" s="132">
        <v>8.752E9</v>
      </c>
      <c r="Z10" s="132">
        <v>1.406E9</v>
      </c>
      <c r="AA10" s="132">
        <v>7.346E9</v>
      </c>
      <c r="AB10" s="132">
        <v>7.94E8</v>
      </c>
      <c r="AC10" s="134">
        <v>0.1080860332153553</v>
      </c>
      <c r="AD10" s="130"/>
      <c r="AE10" s="135">
        <v>0.7566386810014056</v>
      </c>
      <c r="AF10" s="135">
        <v>0.3324848991376363</v>
      </c>
      <c r="AG10" s="135">
        <v>0.2489077992630019</v>
      </c>
      <c r="AH10" s="135">
        <v>1.789674952198853</v>
      </c>
      <c r="AI10" s="135">
        <v>0.1006127055788455</v>
      </c>
      <c r="AJ10" s="136">
        <v>7.806031037299211E9</v>
      </c>
      <c r="AK10" s="135">
        <v>0.1832143603553305</v>
      </c>
      <c r="AL10" s="135">
        <v>0.6404151404151404</v>
      </c>
      <c r="AM10" s="135">
        <v>0.477632327831531</v>
      </c>
      <c r="AN10" s="135">
        <v>10.63780387872166</v>
      </c>
      <c r="AO10" s="135">
        <v>6.22475106685633</v>
      </c>
      <c r="AP10" s="135">
        <v>0.2496084221337784</v>
      </c>
      <c r="AQ10" s="132">
        <v>3.1316E10</v>
      </c>
      <c r="AR10" s="135">
        <v>2.573424274796615</v>
      </c>
      <c r="AS10" s="135">
        <v>1.414292088990884</v>
      </c>
      <c r="AT10" s="135">
        <v>1.10001912411551</v>
      </c>
      <c r="AU10" s="135">
        <v>0.4863262574105948</v>
      </c>
      <c r="AV10" s="132">
        <v>1.272491749725342E11</v>
      </c>
      <c r="AW10" s="132">
        <v>1.585651749725342E11</v>
      </c>
      <c r="AX10" s="135">
        <v>19.42287731721911</v>
      </c>
      <c r="AY10" s="135">
        <v>4.834144093474687</v>
      </c>
      <c r="AZ10" s="135">
        <v>14.48482355976485</v>
      </c>
      <c r="BA10" s="135">
        <v>13.03025515428829</v>
      </c>
      <c r="BB10" s="135">
        <v>0.03299164808656829</v>
      </c>
      <c r="BC10" s="135">
        <v>34.75803741396727</v>
      </c>
    </row>
    <row r="11">
      <c r="A11" s="130" t="s">
        <v>10</v>
      </c>
      <c r="B11" s="130">
        <v>2023.0</v>
      </c>
      <c r="C11" s="131">
        <v>266.8806457519531</v>
      </c>
      <c r="D11" s="132">
        <v>2.819E10</v>
      </c>
      <c r="E11" s="132">
        <v>1.9739E10</v>
      </c>
      <c r="F11" s="132">
        <v>6.717E9</v>
      </c>
      <c r="G11" s="130">
        <v>12.49</v>
      </c>
      <c r="H11" s="130">
        <v>8.52</v>
      </c>
      <c r="I11" s="130">
        <v>5.38E8</v>
      </c>
      <c r="J11" s="132">
        <v>7.359E9</v>
      </c>
      <c r="K11" s="132">
        <v>8.471E9</v>
      </c>
      <c r="L11" s="132">
        <v>-1.112E9</v>
      </c>
      <c r="M11" s="133">
        <v>4.556E9</v>
      </c>
      <c r="N11" s="132">
        <v>1.0944E10</v>
      </c>
      <c r="O11" s="132">
        <v>3.0332E10</v>
      </c>
      <c r="P11" s="132">
        <v>9.7154E10</v>
      </c>
      <c r="Q11" s="132">
        <v>8.11375E10</v>
      </c>
      <c r="R11" s="132">
        <v>1.8392E10</v>
      </c>
      <c r="S11" s="132">
        <v>9.518E9</v>
      </c>
      <c r="T11" s="132">
        <v>6.232E9</v>
      </c>
      <c r="U11" s="132">
        <v>4.9465E9</v>
      </c>
      <c r="V11" s="132">
        <v>6.4613E10</v>
      </c>
      <c r="W11" s="132">
        <v>7.0845E10</v>
      </c>
      <c r="X11" s="132">
        <v>1.4801E10</v>
      </c>
      <c r="Y11" s="132">
        <v>1.073E10</v>
      </c>
      <c r="Z11" s="132">
        <v>2.875E9</v>
      </c>
      <c r="AA11" s="132">
        <v>7.855E9</v>
      </c>
      <c r="AB11" s="132">
        <v>1.138E9</v>
      </c>
      <c r="AC11" s="134">
        <v>0.1448758752387015</v>
      </c>
      <c r="AD11" s="130"/>
      <c r="AE11" s="135">
        <v>0.7002128414331323</v>
      </c>
      <c r="AF11" s="135">
        <v>0.3806314295849592</v>
      </c>
      <c r="AG11" s="135">
        <v>0.2382759843916282</v>
      </c>
      <c r="AH11" s="135">
        <v>1.357929849388456</v>
      </c>
      <c r="AI11" s="135">
        <v>0.08278539516253274</v>
      </c>
      <c r="AJ11" s="136">
        <v>9.175481858688732E9</v>
      </c>
      <c r="AK11" s="135">
        <v>0.1295148826125871</v>
      </c>
      <c r="AL11" s="135">
        <v>0.6782789935983325</v>
      </c>
      <c r="AM11" s="135">
        <v>0.6191058567740182</v>
      </c>
      <c r="AN11" s="135">
        <v>10.36793966623877</v>
      </c>
      <c r="AO11" s="135">
        <v>3.732173913043478</v>
      </c>
      <c r="AP11" s="135">
        <v>0.1311036478727191</v>
      </c>
      <c r="AQ11" s="132">
        <v>5.3669E10</v>
      </c>
      <c r="AR11" s="135">
        <v>3.626038781163435</v>
      </c>
      <c r="AS11" s="135">
        <v>1.64919530230535</v>
      </c>
      <c r="AT11" s="135">
        <v>1.13168769030013</v>
      </c>
      <c r="AU11" s="135">
        <v>0.5950413223140496</v>
      </c>
      <c r="AV11" s="132">
        <v>1.435817874145508E11</v>
      </c>
      <c r="AW11" s="132">
        <v>1.972507874145508E11</v>
      </c>
      <c r="AX11" s="135">
        <v>21.36754569671362</v>
      </c>
      <c r="AY11" s="135">
        <v>5.093358900835431</v>
      </c>
      <c r="AZ11" s="135">
        <v>19.51104598648604</v>
      </c>
      <c r="BA11" s="135">
        <v>13.32685544318295</v>
      </c>
      <c r="BB11" s="135">
        <v>0.03192438318632795</v>
      </c>
      <c r="BC11" s="135">
        <v>23.03943957229634</v>
      </c>
    </row>
    <row r="12">
      <c r="A12" s="130" t="s">
        <v>10</v>
      </c>
      <c r="B12" s="130">
        <v>2024.0</v>
      </c>
      <c r="C12" s="131">
        <v>248.8076324462891</v>
      </c>
      <c r="D12" s="132">
        <v>3.3424E10</v>
      </c>
      <c r="E12" s="132">
        <v>2.0566E10</v>
      </c>
      <c r="F12" s="132">
        <v>4.09E9</v>
      </c>
      <c r="G12" s="130">
        <v>7.56</v>
      </c>
      <c r="H12" s="130">
        <v>9.0</v>
      </c>
      <c r="I12" s="130">
        <v>5.41E8</v>
      </c>
      <c r="J12" s="132">
        <v>1.0394E10</v>
      </c>
      <c r="K12" s="132">
        <v>1.149E10</v>
      </c>
      <c r="L12" s="132">
        <v>-1.096E9</v>
      </c>
      <c r="M12" s="133">
        <v>4.832E9</v>
      </c>
      <c r="N12" s="132">
        <v>1.1973E10</v>
      </c>
      <c r="O12" s="132">
        <v>2.903E10</v>
      </c>
      <c r="P12" s="132">
        <v>9.1839E10</v>
      </c>
      <c r="Q12" s="132">
        <v>9.44965E10</v>
      </c>
      <c r="R12" s="132">
        <v>2.3099E10</v>
      </c>
      <c r="S12" s="132">
        <v>6.998E9</v>
      </c>
      <c r="T12" s="132">
        <v>5.877E9</v>
      </c>
      <c r="U12" s="132">
        <v>6.0545E9</v>
      </c>
      <c r="V12" s="132">
        <v>6.0099E10</v>
      </c>
      <c r="W12" s="132">
        <v>6.5976E10</v>
      </c>
      <c r="X12" s="132">
        <v>1.3356E10</v>
      </c>
      <c r="Y12" s="132">
        <v>7.764E9</v>
      </c>
      <c r="Z12" s="132">
        <v>3.155E9</v>
      </c>
      <c r="AA12" s="132">
        <v>4.609E9</v>
      </c>
      <c r="AB12" s="132">
        <v>5.19E8</v>
      </c>
      <c r="AC12" s="134">
        <v>0.1126057713169885</v>
      </c>
      <c r="AD12" s="130"/>
      <c r="AE12" s="135">
        <v>0.6153063666826233</v>
      </c>
      <c r="AF12" s="135">
        <v>0.2322881761608425</v>
      </c>
      <c r="AG12" s="135">
        <v>0.1223671613212063</v>
      </c>
      <c r="AH12" s="135">
        <v>0.6755305970765546</v>
      </c>
      <c r="AI12" s="135">
        <v>0.04328202631843507</v>
      </c>
      <c r="AJ12" s="136">
        <v>6.889728791494902E9</v>
      </c>
      <c r="AK12" s="135">
        <v>0.1044278039210456</v>
      </c>
      <c r="AL12" s="135">
        <v>1.181418092909535</v>
      </c>
      <c r="AM12" s="135">
        <v>0.4648835866846258</v>
      </c>
      <c r="AN12" s="135">
        <v>10.22613578356304</v>
      </c>
      <c r="AO12" s="135">
        <v>2.460855784469097</v>
      </c>
      <c r="AP12" s="135">
        <v>0.1911845454999251</v>
      </c>
      <c r="AQ12" s="132">
        <v>4.8126E10</v>
      </c>
      <c r="AR12" s="135">
        <v>3.603324348607368</v>
      </c>
      <c r="AS12" s="135">
        <v>1.256764362093597</v>
      </c>
      <c r="AT12" s="135">
        <v>0.953807524135244</v>
      </c>
      <c r="AU12" s="135">
        <v>0.5183341270184857</v>
      </c>
      <c r="AV12" s="132">
        <v>1.346049291534424E11</v>
      </c>
      <c r="AW12" s="132">
        <v>1.827309291534424E11</v>
      </c>
      <c r="AX12" s="135">
        <v>32.91106249289538</v>
      </c>
      <c r="AY12" s="135">
        <v>4.027193907175754</v>
      </c>
      <c r="AZ12" s="135">
        <v>12.95025294914781</v>
      </c>
      <c r="BA12" s="135">
        <v>13.6815610327525</v>
      </c>
      <c r="BB12" s="135">
        <v>0.03617252377473935</v>
      </c>
      <c r="BC12" s="135">
        <v>22.9036803051629</v>
      </c>
    </row>
    <row r="13">
      <c r="A13" s="130" t="s">
        <v>10</v>
      </c>
      <c r="B13" s="130">
        <v>2025.0</v>
      </c>
      <c r="C13" s="131">
        <v>322.621337890625</v>
      </c>
      <c r="D13" s="132">
        <v>3.6751E10</v>
      </c>
      <c r="E13" s="132">
        <v>2.4714E10</v>
      </c>
      <c r="F13" s="132">
        <v>7.711E9</v>
      </c>
      <c r="G13" s="130">
        <v>14.23</v>
      </c>
      <c r="H13" s="130">
        <v>9.52</v>
      </c>
      <c r="I13" s="130">
        <v>5.42E8</v>
      </c>
      <c r="J13" s="132">
        <v>8.1E9</v>
      </c>
      <c r="K13" s="132">
        <v>9.958E9</v>
      </c>
      <c r="L13" s="132">
        <v>-1.858E9</v>
      </c>
      <c r="M13" s="133">
        <v>5.124E9</v>
      </c>
      <c r="N13" s="132">
        <v>9.129E9</v>
      </c>
      <c r="O13" s="132">
        <v>2.9057E10</v>
      </c>
      <c r="P13" s="132">
        <v>9.0586E10</v>
      </c>
      <c r="Q13" s="132">
        <v>9.12125E10</v>
      </c>
      <c r="R13" s="132">
        <v>2.5489E10</v>
      </c>
      <c r="S13" s="132">
        <v>6.225E9</v>
      </c>
      <c r="T13" s="132">
        <v>8.658E9</v>
      </c>
      <c r="U13" s="132">
        <v>7.2675E9</v>
      </c>
      <c r="V13" s="132">
        <v>5.4604E10</v>
      </c>
      <c r="W13" s="132">
        <v>6.3262E10</v>
      </c>
      <c r="X13" s="132">
        <v>1.6898E10</v>
      </c>
      <c r="Y13" s="132">
        <v>1.1731E10</v>
      </c>
      <c r="Z13" s="132">
        <v>2.755E9</v>
      </c>
      <c r="AA13" s="132">
        <v>8.976E9</v>
      </c>
      <c r="AB13" s="132">
        <v>1.265E9</v>
      </c>
      <c r="AC13" s="134">
        <v>0.1409313725490196</v>
      </c>
      <c r="AD13" s="130"/>
      <c r="AE13" s="135">
        <v>0.6724714973742211</v>
      </c>
      <c r="AF13" s="135">
        <v>0.3192021985796305</v>
      </c>
      <c r="AG13" s="135">
        <v>0.2098174199341515</v>
      </c>
      <c r="AH13" s="135">
        <v>1.061025111799106</v>
      </c>
      <c r="AI13" s="135">
        <v>0.08453885158284226</v>
      </c>
      <c r="AJ13" s="136">
        <v>1.007773406862745E10</v>
      </c>
      <c r="AK13" s="135">
        <v>0.1593015407136583</v>
      </c>
      <c r="AL13" s="135">
        <v>0.6645052522370639</v>
      </c>
      <c r="AM13" s="135">
        <v>0.6325925925925926</v>
      </c>
      <c r="AN13" s="135">
        <v>6.306768306768307</v>
      </c>
      <c r="AO13" s="135">
        <v>4.258076225045372</v>
      </c>
      <c r="AP13" s="135">
        <v>0.1823675921177936</v>
      </c>
      <c r="AQ13" s="132">
        <v>4.5475E10</v>
      </c>
      <c r="AR13" s="135">
        <v>2.691146881287726</v>
      </c>
      <c r="AS13" s="135">
        <v>1.139981952999333</v>
      </c>
      <c r="AT13" s="135">
        <v>0.8957589548432657</v>
      </c>
      <c r="AU13" s="135">
        <v>0.3581544980187532</v>
      </c>
      <c r="AV13" s="132">
        <v>1.748607651367188E11</v>
      </c>
      <c r="AW13" s="132">
        <v>2.203357651367188E11</v>
      </c>
      <c r="AX13" s="135">
        <v>22.67191411740162</v>
      </c>
      <c r="AY13" s="135">
        <v>4.757986589119174</v>
      </c>
      <c r="AZ13" s="135">
        <v>21.58774878231096</v>
      </c>
      <c r="BA13" s="135">
        <v>13.03916233499342</v>
      </c>
      <c r="BB13" s="135">
        <v>0.0295082776057034</v>
      </c>
      <c r="BC13" s="135">
        <v>20.19643856972959</v>
      </c>
    </row>
    <row r="14">
      <c r="A14" s="130" t="s">
        <v>8</v>
      </c>
      <c r="B14" s="130">
        <v>2022.0</v>
      </c>
      <c r="C14" s="131">
        <v>84.0</v>
      </c>
      <c r="D14" s="132">
        <v>5.13983E11</v>
      </c>
      <c r="E14" s="132">
        <v>2.25152E11</v>
      </c>
      <c r="F14" s="132">
        <v>-2.722E9</v>
      </c>
      <c r="G14" s="130">
        <v>-0.27</v>
      </c>
      <c r="H14" s="130"/>
      <c r="I14" s="130">
        <v>1.0189E10</v>
      </c>
      <c r="J14" s="132">
        <v>-1.6893E10</v>
      </c>
      <c r="K14" s="132">
        <v>4.6752E10</v>
      </c>
      <c r="L14" s="132">
        <v>-6.3645E10</v>
      </c>
      <c r="M14" s="133"/>
      <c r="N14" s="132">
        <v>5.3888E10</v>
      </c>
      <c r="O14" s="132">
        <v>1.46791E11</v>
      </c>
      <c r="P14" s="132">
        <v>4.62675E11</v>
      </c>
      <c r="Q14" s="132">
        <v>4.62675E11</v>
      </c>
      <c r="R14" s="132">
        <v>1.55393E11</v>
      </c>
      <c r="S14" s="132">
        <v>3.4405E10</v>
      </c>
      <c r="T14" s="132">
        <v>1.46043E11</v>
      </c>
      <c r="U14" s="132">
        <v>1.46043E11</v>
      </c>
      <c r="V14" s="132">
        <v>1.40118E11</v>
      </c>
      <c r="W14" s="132">
        <v>2.13193E11</v>
      </c>
      <c r="X14" s="132">
        <v>3.8352E10</v>
      </c>
      <c r="Y14" s="132">
        <v>-3.569E9</v>
      </c>
      <c r="Z14" s="132">
        <v>2.367E9</v>
      </c>
      <c r="AA14" s="132">
        <v>-5.936E9</v>
      </c>
      <c r="AB14" s="132"/>
      <c r="AC14" s="134"/>
      <c r="AD14" s="130"/>
      <c r="AE14" s="135">
        <v>0.4380533986532629</v>
      </c>
      <c r="AF14" s="135">
        <v>-0.00694380942560357</v>
      </c>
      <c r="AG14" s="135">
        <v>-0.005295895000418302</v>
      </c>
      <c r="AH14" s="135">
        <v>-0.01863834624049081</v>
      </c>
      <c r="AI14" s="135">
        <v>-0.005883179337547955</v>
      </c>
      <c r="AJ14" s="136">
        <v>-2.81951E9</v>
      </c>
      <c r="AK14" s="135">
        <v>-0.0132251527958235</v>
      </c>
      <c r="AL14" s="135"/>
      <c r="AM14" s="135"/>
      <c r="AN14" s="135">
        <v>0.9594297569893798</v>
      </c>
      <c r="AO14" s="135">
        <v>-1.507815800591466</v>
      </c>
      <c r="AP14" s="135">
        <v>0.3336616280563525</v>
      </c>
      <c r="AQ14" s="132">
        <v>8.623E10</v>
      </c>
      <c r="AR14" s="135">
        <v>2.248383395911556</v>
      </c>
      <c r="AS14" s="135">
        <v>0.9446435811136924</v>
      </c>
      <c r="AT14" s="135">
        <v>0.7232372114574016</v>
      </c>
      <c r="AU14" s="135">
        <v>0.3467852477267316</v>
      </c>
      <c r="AV14" s="132">
        <v>8.55876E11</v>
      </c>
      <c r="AW14" s="132">
        <v>9.42106E11</v>
      </c>
      <c r="AX14" s="135">
        <v>-311.1111111111111</v>
      </c>
      <c r="AY14" s="135">
        <v>1.665183478831012</v>
      </c>
      <c r="AZ14" s="135">
        <v>-50.66453560646421</v>
      </c>
      <c r="BA14" s="135">
        <v>24.56471631205674</v>
      </c>
      <c r="BB14" s="135"/>
      <c r="BC14" s="135">
        <v>5.860438364043467</v>
      </c>
    </row>
    <row r="15">
      <c r="A15" s="130" t="s">
        <v>8</v>
      </c>
      <c r="B15" s="130">
        <v>2023.0</v>
      </c>
      <c r="C15" s="131">
        <v>151.9400024414062</v>
      </c>
      <c r="D15" s="132">
        <v>5.74785E11</v>
      </c>
      <c r="E15" s="132">
        <v>2.70046E11</v>
      </c>
      <c r="F15" s="132">
        <v>3.0425E10</v>
      </c>
      <c r="G15" s="130">
        <v>2.9</v>
      </c>
      <c r="H15" s="130"/>
      <c r="I15" s="130">
        <v>1.0492E10</v>
      </c>
      <c r="J15" s="132">
        <v>3.2217E10</v>
      </c>
      <c r="K15" s="132">
        <v>8.4946E10</v>
      </c>
      <c r="L15" s="132">
        <v>-5.2729E10</v>
      </c>
      <c r="M15" s="133"/>
      <c r="N15" s="132">
        <v>7.3387E10</v>
      </c>
      <c r="O15" s="132">
        <v>1.72351E11</v>
      </c>
      <c r="P15" s="132">
        <v>5.27854E11</v>
      </c>
      <c r="Q15" s="132">
        <v>4.952645E11</v>
      </c>
      <c r="R15" s="132">
        <v>1.64917E11</v>
      </c>
      <c r="S15" s="132">
        <v>3.3318E10</v>
      </c>
      <c r="T15" s="132">
        <v>2.01875E11</v>
      </c>
      <c r="U15" s="132">
        <v>1.73959E11</v>
      </c>
      <c r="V15" s="132">
        <v>1.35611E11</v>
      </c>
      <c r="W15" s="132">
        <v>2.60189E11</v>
      </c>
      <c r="X15" s="132">
        <v>8.9402E10</v>
      </c>
      <c r="Y15" s="132">
        <v>4.0739E10</v>
      </c>
      <c r="Z15" s="132">
        <v>3.182E9</v>
      </c>
      <c r="AA15" s="132">
        <v>3.7557E10</v>
      </c>
      <c r="AB15" s="132"/>
      <c r="AC15" s="134"/>
      <c r="AD15" s="130"/>
      <c r="AE15" s="135">
        <v>0.4698208895500057</v>
      </c>
      <c r="AF15" s="135">
        <v>0.07087693659368285</v>
      </c>
      <c r="AG15" s="135">
        <v>0.05293283575597832</v>
      </c>
      <c r="AH15" s="135">
        <v>0.1748975333268184</v>
      </c>
      <c r="AI15" s="135">
        <v>0.06143182077455582</v>
      </c>
      <c r="AJ15" s="136">
        <v>3.218381E10</v>
      </c>
      <c r="AK15" s="135">
        <v>0.1236939686151221</v>
      </c>
      <c r="AL15" s="135"/>
      <c r="AM15" s="135"/>
      <c r="AN15" s="135">
        <v>0.6717572755417957</v>
      </c>
      <c r="AO15" s="135">
        <v>12.80295411690761</v>
      </c>
      <c r="AP15" s="135">
        <v>0.6263946140062384</v>
      </c>
      <c r="AQ15" s="132">
        <v>6.2224E10</v>
      </c>
      <c r="AR15" s="135">
        <v>0.6960023265698754</v>
      </c>
      <c r="AS15" s="135">
        <v>1.045077220662515</v>
      </c>
      <c r="AT15" s="135">
        <v>0.8430483212767634</v>
      </c>
      <c r="AU15" s="135">
        <v>0.4449935422060794</v>
      </c>
      <c r="AV15" s="132">
        <v>1.594154505615234E12</v>
      </c>
      <c r="AW15" s="132">
        <v>1.656378505615234E12</v>
      </c>
      <c r="AX15" s="135">
        <v>52.39310429014009</v>
      </c>
      <c r="AY15" s="135">
        <v>2.77347965868148</v>
      </c>
      <c r="AZ15" s="135">
        <v>49.48177997998679</v>
      </c>
      <c r="BA15" s="135">
        <v>18.52730929526447</v>
      </c>
      <c r="BB15" s="135"/>
      <c r="BC15" s="135">
        <v>7.896740585090944</v>
      </c>
    </row>
    <row r="16">
      <c r="A16" s="130" t="s">
        <v>8</v>
      </c>
      <c r="B16" s="130">
        <v>2024.0</v>
      </c>
      <c r="C16" s="131">
        <v>219.3899993896484</v>
      </c>
      <c r="D16" s="132">
        <v>6.37959E11</v>
      </c>
      <c r="E16" s="132">
        <v>3.11671E11</v>
      </c>
      <c r="F16" s="132">
        <v>5.9248E10</v>
      </c>
      <c r="G16" s="130">
        <v>5.53</v>
      </c>
      <c r="H16" s="130"/>
      <c r="I16" s="130">
        <v>1.0721E10</v>
      </c>
      <c r="J16" s="132">
        <v>3.2878E10</v>
      </c>
      <c r="K16" s="132">
        <v>1.15877E11</v>
      </c>
      <c r="L16" s="132">
        <v>-8.2999E10</v>
      </c>
      <c r="M16" s="133"/>
      <c r="N16" s="132">
        <v>7.8779E10</v>
      </c>
      <c r="O16" s="132">
        <v>1.90867E11</v>
      </c>
      <c r="P16" s="132">
        <v>6.24894E11</v>
      </c>
      <c r="Q16" s="132">
        <v>5.76374E11</v>
      </c>
      <c r="R16" s="132">
        <v>1.79431E11</v>
      </c>
      <c r="S16" s="132">
        <v>3.4214E10</v>
      </c>
      <c r="T16" s="132">
        <v>2.8597E11</v>
      </c>
      <c r="U16" s="132">
        <v>2.439225E11</v>
      </c>
      <c r="V16" s="132">
        <v>1.309E11</v>
      </c>
      <c r="W16" s="132">
        <v>3.38593E11</v>
      </c>
      <c r="X16" s="132">
        <v>1.23815E11</v>
      </c>
      <c r="Y16" s="132">
        <v>7.102E10</v>
      </c>
      <c r="Z16" s="132">
        <v>2.406E9</v>
      </c>
      <c r="AA16" s="132">
        <v>6.8614E10</v>
      </c>
      <c r="AB16" s="132"/>
      <c r="AC16" s="134"/>
      <c r="AD16" s="130"/>
      <c r="AE16" s="135">
        <v>0.4885439346415679</v>
      </c>
      <c r="AF16" s="135">
        <v>0.1113237684553396</v>
      </c>
      <c r="AG16" s="135">
        <v>0.09287117197186653</v>
      </c>
      <c r="AH16" s="135">
        <v>0.2428968217364122</v>
      </c>
      <c r="AI16" s="135">
        <v>0.1027943661580848</v>
      </c>
      <c r="AJ16" s="136">
        <v>5.61058E10</v>
      </c>
      <c r="AK16" s="135">
        <v>0.1657027758990883</v>
      </c>
      <c r="AL16" s="135"/>
      <c r="AM16" s="135"/>
      <c r="AN16" s="135">
        <v>0.4577403224114417</v>
      </c>
      <c r="AO16" s="135">
        <v>29.51787198669992</v>
      </c>
      <c r="AP16" s="135">
        <v>0.8852330022918258</v>
      </c>
      <c r="AQ16" s="132">
        <v>5.2121E10</v>
      </c>
      <c r="AR16" s="135">
        <v>0.4209586883657069</v>
      </c>
      <c r="AS16" s="135">
        <v>1.063734806137178</v>
      </c>
      <c r="AT16" s="135">
        <v>0.8730542659852534</v>
      </c>
      <c r="AU16" s="135">
        <v>0.4390489937636194</v>
      </c>
      <c r="AV16" s="132">
        <v>2.352080183456421E12</v>
      </c>
      <c r="AW16" s="132">
        <v>2.404201183456421E12</v>
      </c>
      <c r="AX16" s="135">
        <v>39.67269428384239</v>
      </c>
      <c r="AY16" s="135">
        <v>3.686882986926152</v>
      </c>
      <c r="AZ16" s="135">
        <v>71.53963694435248</v>
      </c>
      <c r="BA16" s="135">
        <v>19.41768916089667</v>
      </c>
      <c r="BB16" s="135"/>
      <c r="BC16" s="135">
        <v>8.22491933928881</v>
      </c>
    </row>
    <row r="17">
      <c r="A17" s="130" t="s">
        <v>8</v>
      </c>
      <c r="B17" s="130">
        <v>2025.0</v>
      </c>
      <c r="C17" s="131">
        <v>230.8200073242188</v>
      </c>
      <c r="D17" s="132">
        <v>7.16924E11</v>
      </c>
      <c r="E17" s="132">
        <v>3.6051E11</v>
      </c>
      <c r="F17" s="132">
        <v>7.767E10</v>
      </c>
      <c r="G17" s="130">
        <v>7.17</v>
      </c>
      <c r="H17" s="130"/>
      <c r="I17" s="130">
        <v>1.0827E10</v>
      </c>
      <c r="J17" s="132">
        <v>7.695E9</v>
      </c>
      <c r="K17" s="132">
        <v>1.39514E11</v>
      </c>
      <c r="L17" s="132">
        <v>-1.31819E11</v>
      </c>
      <c r="M17" s="133"/>
      <c r="N17" s="132">
        <v>8.681E10</v>
      </c>
      <c r="O17" s="132">
        <v>2.29083E11</v>
      </c>
      <c r="P17" s="132">
        <v>8.18042E11</v>
      </c>
      <c r="Q17" s="132">
        <v>7.21468E11</v>
      </c>
      <c r="R17" s="132">
        <v>2.18005E11</v>
      </c>
      <c r="S17" s="132">
        <v>3.8325E10</v>
      </c>
      <c r="T17" s="132">
        <v>4.11065E11</v>
      </c>
      <c r="U17" s="132">
        <v>3.485175E11</v>
      </c>
      <c r="V17" s="132">
        <v>1.52987E11</v>
      </c>
      <c r="W17" s="132">
        <v>4.76713E11</v>
      </c>
      <c r="X17" s="132">
        <v>1.65341E11</v>
      </c>
      <c r="Y17" s="132">
        <v>9.9585E10</v>
      </c>
      <c r="Z17" s="132">
        <v>2.274E9</v>
      </c>
      <c r="AA17" s="132">
        <v>9.7311E10</v>
      </c>
      <c r="AB17" s="132"/>
      <c r="AC17" s="134"/>
      <c r="AD17" s="130"/>
      <c r="AE17" s="135">
        <v>0.5028566486824266</v>
      </c>
      <c r="AF17" s="135">
        <v>0.1389059370309824</v>
      </c>
      <c r="AG17" s="135">
        <v>0.1083378433418326</v>
      </c>
      <c r="AH17" s="135">
        <v>0.2228582495857453</v>
      </c>
      <c r="AI17" s="135">
        <v>0.1076555023923445</v>
      </c>
      <c r="AJ17" s="136">
        <v>7.867215E10</v>
      </c>
      <c r="AK17" s="135">
        <v>0.1650304271123297</v>
      </c>
      <c r="AL17" s="135"/>
      <c r="AM17" s="135"/>
      <c r="AN17" s="135">
        <v>0.372172284188632</v>
      </c>
      <c r="AO17" s="135">
        <v>43.79287598944591</v>
      </c>
      <c r="AP17" s="135">
        <v>0.9119336937125376</v>
      </c>
      <c r="AQ17" s="132">
        <v>6.6177E10</v>
      </c>
      <c r="AR17" s="135">
        <v>0.4002455531295928</v>
      </c>
      <c r="AS17" s="135">
        <v>1.050815348271829</v>
      </c>
      <c r="AT17" s="135">
        <v>0.8750166280589895</v>
      </c>
      <c r="AU17" s="135">
        <v>0.3982018761037591</v>
      </c>
      <c r="AV17" s="132">
        <v>2.499088219299316E12</v>
      </c>
      <c r="AW17" s="132">
        <v>2.565265219299316E12</v>
      </c>
      <c r="AX17" s="135">
        <v>32.19246964075575</v>
      </c>
      <c r="AY17" s="135">
        <v>3.485848178188087</v>
      </c>
      <c r="AZ17" s="135">
        <v>324.7677997789885</v>
      </c>
      <c r="BA17" s="135">
        <v>15.51499760676007</v>
      </c>
      <c r="BB17" s="135"/>
      <c r="BC17" s="135">
        <v>6.079545131060335</v>
      </c>
    </row>
    <row r="18">
      <c r="A18" s="130" t="s">
        <v>17</v>
      </c>
      <c r="B18" s="130">
        <v>2022.0</v>
      </c>
      <c r="C18" s="131">
        <v>529.7848510742188</v>
      </c>
      <c r="D18" s="132">
        <v>2.11734E10</v>
      </c>
      <c r="E18" s="132">
        <v>1.07001E10</v>
      </c>
      <c r="F18" s="132">
        <v>5.6242E9</v>
      </c>
      <c r="G18" s="130">
        <v>16.07</v>
      </c>
      <c r="H18" s="130">
        <v>6.634</v>
      </c>
      <c r="I18" s="130">
        <v>3.98E8</v>
      </c>
      <c r="J18" s="132">
        <v>7.1675E9</v>
      </c>
      <c r="K18" s="132"/>
      <c r="L18" s="132">
        <v>-1.3193E9</v>
      </c>
      <c r="M18" s="133">
        <v>2.5598E9</v>
      </c>
      <c r="N18" s="132">
        <v>7.2683E9</v>
      </c>
      <c r="O18" s="132">
        <v>2.30649E10</v>
      </c>
      <c r="P18" s="132">
        <v>3.63004E10</v>
      </c>
      <c r="Q18" s="132">
        <v>3.63004E10</v>
      </c>
      <c r="R18" s="132">
        <v>1.79836E10</v>
      </c>
      <c r="S18" s="132">
        <v>7.1997E9</v>
      </c>
      <c r="T18" s="132">
        <v>8.8108E9</v>
      </c>
      <c r="U18" s="132">
        <v>8.8108E9</v>
      </c>
      <c r="V18" s="132">
        <v>4.2604E9</v>
      </c>
      <c r="W18" s="132">
        <v>1.30712E10</v>
      </c>
      <c r="X18" s="132">
        <v>7.1005E9</v>
      </c>
      <c r="Y18" s="132">
        <v>6.5169E9</v>
      </c>
      <c r="Z18" s="132">
        <v>6.08E7</v>
      </c>
      <c r="AA18" s="132">
        <v>6.4561E9</v>
      </c>
      <c r="AB18" s="132">
        <v>9.699E8</v>
      </c>
      <c r="AC18" s="134">
        <v>0.1502300150245504</v>
      </c>
      <c r="AD18" s="130"/>
      <c r="AE18" s="135">
        <v>0.5053557765876052</v>
      </c>
      <c r="AF18" s="135">
        <v>0.3077871291337244</v>
      </c>
      <c r="AG18" s="135">
        <v>0.2656257379542256</v>
      </c>
      <c r="AH18" s="135">
        <v>0.6383302310800382</v>
      </c>
      <c r="AI18" s="135">
        <v>0.154934931846481</v>
      </c>
      <c r="AJ18" s="136">
        <v>5.537866015086508E9</v>
      </c>
      <c r="AK18" s="135">
        <v>0.4236692893603118</v>
      </c>
      <c r="AL18" s="135">
        <v>0.4551402866185413</v>
      </c>
      <c r="AM18" s="135">
        <v>0.3571398674572724</v>
      </c>
      <c r="AN18" s="135">
        <v>0.4835429245925455</v>
      </c>
      <c r="AO18" s="135">
        <v>107.1858552631579</v>
      </c>
      <c r="AP18" s="135"/>
      <c r="AQ18" s="132">
        <v>-3.0079E9</v>
      </c>
      <c r="AR18" s="135">
        <v>-0.4236180550665446</v>
      </c>
      <c r="AS18" s="135">
        <v>1.282551880602327</v>
      </c>
      <c r="AT18" s="135">
        <v>0.8822037856713895</v>
      </c>
      <c r="AU18" s="135">
        <v>0.404162681554305</v>
      </c>
      <c r="AV18" s="132">
        <v>2.108543707275391E11</v>
      </c>
      <c r="AW18" s="132">
        <v>2.078464707275391E11</v>
      </c>
      <c r="AX18" s="135">
        <v>32.96732116205468</v>
      </c>
      <c r="AY18" s="135">
        <v>9.958455927132112</v>
      </c>
      <c r="AZ18" s="135">
        <v>29.41811938996011</v>
      </c>
      <c r="BA18" s="135">
        <v>29.27208939194973</v>
      </c>
      <c r="BB18" s="135">
        <v>0.01252206435602786</v>
      </c>
      <c r="BC18" s="135">
        <v>23.93135364865155</v>
      </c>
    </row>
    <row r="19">
      <c r="A19" s="130" t="s">
        <v>17</v>
      </c>
      <c r="B19" s="130">
        <v>2023.0</v>
      </c>
      <c r="C19" s="131">
        <v>741.18603515625</v>
      </c>
      <c r="D19" s="132">
        <v>2.75585E10</v>
      </c>
      <c r="E19" s="132">
        <v>1.41361E10</v>
      </c>
      <c r="F19" s="132">
        <v>7.839E9</v>
      </c>
      <c r="G19" s="130">
        <v>20.59</v>
      </c>
      <c r="H19" s="130">
        <v>6.453</v>
      </c>
      <c r="I19" s="130">
        <v>3.941E8</v>
      </c>
      <c r="J19" s="132">
        <v>3.2472E9</v>
      </c>
      <c r="K19" s="132"/>
      <c r="L19" s="132">
        <v>-2.1962E9</v>
      </c>
      <c r="M19" s="133">
        <v>2.3483E9</v>
      </c>
      <c r="N19" s="132">
        <v>7.0047E9</v>
      </c>
      <c r="O19" s="132">
        <v>2.43939E10</v>
      </c>
      <c r="P19" s="132">
        <v>3.99575E10</v>
      </c>
      <c r="Q19" s="132">
        <v>3.812895E10</v>
      </c>
      <c r="R19" s="132">
        <v>1.62747E10</v>
      </c>
      <c r="S19" s="132">
        <v>8.8507E9</v>
      </c>
      <c r="T19" s="132">
        <v>1.34524E10</v>
      </c>
      <c r="U19" s="132">
        <v>1.11316E10</v>
      </c>
      <c r="V19" s="132">
        <v>4.6316E9</v>
      </c>
      <c r="W19" s="132">
        <v>1.8084E10</v>
      </c>
      <c r="X19" s="132">
        <v>9.976E9</v>
      </c>
      <c r="Y19" s="132">
        <v>9.2362E9</v>
      </c>
      <c r="Z19" s="132">
        <v>1.527E8</v>
      </c>
      <c r="AA19" s="132">
        <v>9.0835E9</v>
      </c>
      <c r="AB19" s="132">
        <v>1.4358E9</v>
      </c>
      <c r="AC19" s="134">
        <v>0.1580668244619365</v>
      </c>
      <c r="AD19" s="130"/>
      <c r="AE19" s="135">
        <v>0.5129488179690477</v>
      </c>
      <c r="AF19" s="135">
        <v>0.3351488651414264</v>
      </c>
      <c r="AG19" s="135">
        <v>0.2844494439102274</v>
      </c>
      <c r="AH19" s="135">
        <v>0.704211434115491</v>
      </c>
      <c r="AI19" s="135">
        <v>0.2055918140940152</v>
      </c>
      <c r="AJ19" s="136">
        <v>7.776263195904662E9</v>
      </c>
      <c r="AK19" s="135">
        <v>0.4300079183756172</v>
      </c>
      <c r="AL19" s="135">
        <v>0.2995662712080622</v>
      </c>
      <c r="AM19" s="135">
        <v>0.7231768908598177</v>
      </c>
      <c r="AN19" s="135">
        <v>0.3442954417055692</v>
      </c>
      <c r="AO19" s="135">
        <v>60.48592010478062</v>
      </c>
      <c r="AP19" s="135"/>
      <c r="AQ19" s="132">
        <v>-2.3731E9</v>
      </c>
      <c r="AR19" s="135">
        <v>-0.2378809141940658</v>
      </c>
      <c r="AS19" s="135">
        <v>1.498884772069531</v>
      </c>
      <c r="AT19" s="135">
        <v>0.9550529349235316</v>
      </c>
      <c r="AU19" s="135">
        <v>0.4304042470828955</v>
      </c>
      <c r="AV19" s="132">
        <v>2.921014164550781E11</v>
      </c>
      <c r="AW19" s="132">
        <v>2.897283164550781E11</v>
      </c>
      <c r="AX19" s="135">
        <v>35.99737907509714</v>
      </c>
      <c r="AY19" s="135">
        <v>10.59932204057108</v>
      </c>
      <c r="AZ19" s="135">
        <v>89.95485847963727</v>
      </c>
      <c r="BA19" s="135">
        <v>29.0425337264513</v>
      </c>
      <c r="BB19" s="135">
        <v>0.008706316220110161</v>
      </c>
      <c r="BC19" s="135">
        <v>21.71370286752387</v>
      </c>
    </row>
    <row r="20">
      <c r="A20" s="130" t="s">
        <v>17</v>
      </c>
      <c r="B20" s="130">
        <v>2024.0</v>
      </c>
      <c r="C20" s="131">
        <v>684.1212158203125</v>
      </c>
      <c r="D20" s="132">
        <v>2.82629E10</v>
      </c>
      <c r="E20" s="132">
        <v>1.4492E10</v>
      </c>
      <c r="F20" s="132">
        <v>7.5716E9</v>
      </c>
      <c r="G20" s="130">
        <v>19.24</v>
      </c>
      <c r="H20" s="130">
        <v>6.713</v>
      </c>
      <c r="I20" s="130">
        <v>3.936E8</v>
      </c>
      <c r="J20" s="132">
        <v>9.0831E9</v>
      </c>
      <c r="K20" s="132"/>
      <c r="L20" s="132">
        <v>-2.0831E9</v>
      </c>
      <c r="M20" s="133">
        <v>2.4529E9</v>
      </c>
      <c r="N20" s="132">
        <v>1.27359E10</v>
      </c>
      <c r="O20" s="132">
        <v>3.07374E10</v>
      </c>
      <c r="P20" s="132">
        <v>4.85896E10</v>
      </c>
      <c r="Q20" s="132">
        <v>4.427355E10</v>
      </c>
      <c r="R20" s="132">
        <v>2.00514E10</v>
      </c>
      <c r="S20" s="132">
        <v>1.08915E10</v>
      </c>
      <c r="T20" s="132">
        <v>1.84768E10</v>
      </c>
      <c r="U20" s="132">
        <v>1.59646E10</v>
      </c>
      <c r="V20" s="132">
        <v>4.6876E9</v>
      </c>
      <c r="W20" s="132">
        <v>2.31644E10</v>
      </c>
      <c r="X20" s="132">
        <v>1.01236E10</v>
      </c>
      <c r="Y20" s="132">
        <v>9.205E9</v>
      </c>
      <c r="Z20" s="132">
        <v>1.626E8</v>
      </c>
      <c r="AA20" s="132">
        <v>9.0424E9</v>
      </c>
      <c r="AB20" s="132">
        <v>1.6806E9</v>
      </c>
      <c r="AC20" s="134">
        <v>0.1858577368840131</v>
      </c>
      <c r="AD20" s="130"/>
      <c r="AE20" s="135">
        <v>0.512757006535069</v>
      </c>
      <c r="AF20" s="135">
        <v>0.3256919848989311</v>
      </c>
      <c r="AG20" s="135">
        <v>0.2678989063401137</v>
      </c>
      <c r="AH20" s="135">
        <v>0.4742743319594603</v>
      </c>
      <c r="AI20" s="135">
        <v>0.1710185878475975</v>
      </c>
      <c r="AJ20" s="136">
        <v>7.494179531982659E9</v>
      </c>
      <c r="AK20" s="135">
        <v>0.3235214178645965</v>
      </c>
      <c r="AL20" s="135">
        <v>0.3239605895715569</v>
      </c>
      <c r="AM20" s="135">
        <v>0.2700509737864826</v>
      </c>
      <c r="AN20" s="135">
        <v>0.2537019397298234</v>
      </c>
      <c r="AO20" s="135">
        <v>56.61131611316113</v>
      </c>
      <c r="AP20" s="135"/>
      <c r="AQ20" s="132">
        <v>-8.0483E9</v>
      </c>
      <c r="AR20" s="135">
        <v>-0.7950037536054368</v>
      </c>
      <c r="AS20" s="135">
        <v>1.532930368951794</v>
      </c>
      <c r="AT20" s="135">
        <v>0.9897513390586193</v>
      </c>
      <c r="AU20" s="135">
        <v>0.6351626320356684</v>
      </c>
      <c r="AV20" s="132">
        <v>2.69270110546875E11</v>
      </c>
      <c r="AW20" s="132">
        <v>2.61221810546875E11</v>
      </c>
      <c r="AX20" s="135">
        <v>35.55723574949649</v>
      </c>
      <c r="AY20" s="135">
        <v>9.527334793912692</v>
      </c>
      <c r="AZ20" s="135">
        <v>29.64517736751495</v>
      </c>
      <c r="BA20" s="135">
        <v>25.80325284946807</v>
      </c>
      <c r="BB20" s="135">
        <v>0.009812588536595244</v>
      </c>
      <c r="BC20" s="135">
        <v>14.5734169632661</v>
      </c>
    </row>
    <row r="21" ht="15.75" customHeight="1">
      <c r="A21" s="130" t="s">
        <v>17</v>
      </c>
      <c r="B21" s="130">
        <v>2025.0</v>
      </c>
      <c r="C21" s="131">
        <v>1066.1220703125</v>
      </c>
      <c r="D21" s="132">
        <v>3.26673E10</v>
      </c>
      <c r="E21" s="132">
        <v>1.7258E10</v>
      </c>
      <c r="F21" s="132">
        <v>9.6094E9</v>
      </c>
      <c r="G21" s="130">
        <v>26.26</v>
      </c>
      <c r="H21" s="130">
        <v>7.372000000000001</v>
      </c>
      <c r="I21" s="130">
        <v>3.889E8</v>
      </c>
      <c r="J21" s="132">
        <v>1.10273E10</v>
      </c>
      <c r="K21" s="132"/>
      <c r="L21" s="132">
        <v>-1.6312E9</v>
      </c>
      <c r="M21" s="133">
        <v>2.5503E9</v>
      </c>
      <c r="N21" s="132">
        <v>1.2916E10</v>
      </c>
      <c r="O21" s="132">
        <v>3.06161E10</v>
      </c>
      <c r="P21" s="132">
        <v>5.05666E10</v>
      </c>
      <c r="Q21" s="132">
        <v>4.95781E10</v>
      </c>
      <c r="R21" s="132">
        <v>2.42639E10</v>
      </c>
      <c r="S21" s="132">
        <v>1.14293E10</v>
      </c>
      <c r="T21" s="132">
        <v>1.96122E10</v>
      </c>
      <c r="U21" s="132">
        <v>1.90445E10</v>
      </c>
      <c r="V21" s="132">
        <v>4.3909E9</v>
      </c>
      <c r="W21" s="132">
        <v>2.40031E10</v>
      </c>
      <c r="X21" s="132">
        <v>1.25503E10</v>
      </c>
      <c r="Y21" s="132">
        <v>1.15244E10</v>
      </c>
      <c r="Z21" s="132">
        <v>1.183E8</v>
      </c>
      <c r="AA21" s="132">
        <v>1.14061E10</v>
      </c>
      <c r="AB21" s="132">
        <v>2.0134E9</v>
      </c>
      <c r="AC21" s="134">
        <v>0.1765195816273748</v>
      </c>
      <c r="AD21" s="130"/>
      <c r="AE21" s="135">
        <v>0.5282958799778371</v>
      </c>
      <c r="AF21" s="135">
        <v>0.352780915472047</v>
      </c>
      <c r="AG21" s="135">
        <v>0.2941596030281046</v>
      </c>
      <c r="AH21" s="135">
        <v>0.5045761243403607</v>
      </c>
      <c r="AI21" s="135">
        <v>0.1938234825457208</v>
      </c>
      <c r="AJ21" s="136">
        <v>9.490117733493483E9</v>
      </c>
      <c r="AK21" s="135">
        <v>0.3953705035388547</v>
      </c>
      <c r="AL21" s="135">
        <v>0.2653963827085978</v>
      </c>
      <c r="AM21" s="135">
        <v>0.2312714807795199</v>
      </c>
      <c r="AN21" s="135">
        <v>0.2238861524969152</v>
      </c>
      <c r="AO21" s="135">
        <v>97.4167371090448</v>
      </c>
      <c r="AP21" s="135"/>
      <c r="AQ21" s="132">
        <v>-8.5251E9</v>
      </c>
      <c r="AR21" s="135">
        <v>-0.6792745990135693</v>
      </c>
      <c r="AS21" s="135">
        <v>1.26179633117512</v>
      </c>
      <c r="AT21" s="135">
        <v>0.7907549899233017</v>
      </c>
      <c r="AU21" s="135">
        <v>0.5323134368341446</v>
      </c>
      <c r="AV21" s="132">
        <v>4.146148731445312E11</v>
      </c>
      <c r="AW21" s="132">
        <v>4.060897731445312E11</v>
      </c>
      <c r="AX21" s="135">
        <v>40.59870793269231</v>
      </c>
      <c r="AY21" s="135">
        <v>12.69204596475776</v>
      </c>
      <c r="AZ21" s="135">
        <v>37.59894744357469</v>
      </c>
      <c r="BA21" s="135">
        <v>32.35697737460708</v>
      </c>
      <c r="BB21" s="135">
        <v>0.006914780403935482</v>
      </c>
      <c r="BC21" s="135">
        <v>21.14066107548012</v>
      </c>
    </row>
    <row r="22" ht="15.75" customHeight="1">
      <c r="A22" s="130" t="s">
        <v>28</v>
      </c>
      <c r="B22" s="130">
        <v>2022.0</v>
      </c>
      <c r="C22" s="131">
        <v>50.25195693969727</v>
      </c>
      <c r="D22" s="132">
        <v>1.732E10</v>
      </c>
      <c r="E22" s="132">
        <v>6.224E9</v>
      </c>
      <c r="F22" s="132">
        <v>1.508E9</v>
      </c>
      <c r="G22" s="130">
        <v>3.29</v>
      </c>
      <c r="H22" s="130">
        <v>1.7</v>
      </c>
      <c r="I22" s="130">
        <v>4.58358663E8</v>
      </c>
      <c r="J22" s="132">
        <v>2.329E9</v>
      </c>
      <c r="K22" s="132">
        <v>2.932E9</v>
      </c>
      <c r="L22" s="132">
        <v>-6.03E8</v>
      </c>
      <c r="M22" s="133">
        <v>7.63E8</v>
      </c>
      <c r="N22" s="132">
        <v>1.387E9</v>
      </c>
      <c r="O22" s="132">
        <v>6.543E9</v>
      </c>
      <c r="P22" s="132">
        <v>2.9313E10</v>
      </c>
      <c r="Q22" s="132">
        <v>2.9313E10</v>
      </c>
      <c r="R22" s="132">
        <v>7.313E9</v>
      </c>
      <c r="S22" s="132">
        <v>1.38E9</v>
      </c>
      <c r="T22" s="132">
        <v>7.447E9</v>
      </c>
      <c r="U22" s="132">
        <v>7.447E9</v>
      </c>
      <c r="V22" s="132">
        <v>1.1907E10</v>
      </c>
      <c r="W22" s="132">
        <v>1.8678E10</v>
      </c>
      <c r="X22" s="132">
        <v>2.935E9</v>
      </c>
      <c r="Y22" s="132">
        <v>2.119E9</v>
      </c>
      <c r="Z22" s="132">
        <v>1.62E8</v>
      </c>
      <c r="AA22" s="132">
        <v>1.957E9</v>
      </c>
      <c r="AB22" s="132">
        <v>4.36E8</v>
      </c>
      <c r="AC22" s="134">
        <v>0.2227899846704139</v>
      </c>
      <c r="AD22" s="130"/>
      <c r="AE22" s="135">
        <v>0.3593533487297921</v>
      </c>
      <c r="AF22" s="135">
        <v>0.1223441108545035</v>
      </c>
      <c r="AG22" s="135">
        <v>0.08706697459584295</v>
      </c>
      <c r="AH22" s="135">
        <v>0.202497650060427</v>
      </c>
      <c r="AI22" s="135">
        <v>0.05144475147545458</v>
      </c>
      <c r="AJ22" s="136">
        <v>1.646908022483393E9</v>
      </c>
      <c r="AK22" s="135">
        <v>0.0881736814692897</v>
      </c>
      <c r="AL22" s="135">
        <v>0.5059681697612732</v>
      </c>
      <c r="AM22" s="135">
        <v>0.3276084156290253</v>
      </c>
      <c r="AN22" s="135">
        <v>1.598898885457231</v>
      </c>
      <c r="AO22" s="135">
        <v>13.08024691358025</v>
      </c>
      <c r="AP22" s="135">
        <v>0.2462417065591669</v>
      </c>
      <c r="AQ22" s="132">
        <v>1.052E10</v>
      </c>
      <c r="AR22" s="135">
        <v>3.584327086882453</v>
      </c>
      <c r="AS22" s="135">
        <v>0.8947080541501435</v>
      </c>
      <c r="AT22" s="135">
        <v>0.70600300834131</v>
      </c>
      <c r="AU22" s="135">
        <v>0.1896622453165596</v>
      </c>
      <c r="AV22" s="132">
        <v>2.303341979601321E10</v>
      </c>
      <c r="AW22" s="132">
        <v>3.355341979601321E10</v>
      </c>
      <c r="AX22" s="135">
        <v>15.27415104550069</v>
      </c>
      <c r="AY22" s="135">
        <v>1.329874122171663</v>
      </c>
      <c r="AZ22" s="135">
        <v>9.88983245857158</v>
      </c>
      <c r="BA22" s="135">
        <v>11.43217028824982</v>
      </c>
      <c r="BB22" s="135">
        <v>0.03382952831150463</v>
      </c>
      <c r="BC22" s="135">
        <v>3.092979695986734</v>
      </c>
    </row>
    <row r="23" ht="15.75" customHeight="1">
      <c r="A23" s="130" t="s">
        <v>28</v>
      </c>
      <c r="B23" s="130">
        <v>2023.0</v>
      </c>
      <c r="C23" s="131">
        <v>62.56396484375</v>
      </c>
      <c r="D23" s="132">
        <v>1.8302E10</v>
      </c>
      <c r="E23" s="132">
        <v>6.72E9</v>
      </c>
      <c r="F23" s="132">
        <v>1.669E9</v>
      </c>
      <c r="G23" s="130">
        <v>3.63</v>
      </c>
      <c r="H23" s="130">
        <v>1.97</v>
      </c>
      <c r="I23" s="130">
        <v>4.59779614E8</v>
      </c>
      <c r="J23" s="132">
        <v>1.994E9</v>
      </c>
      <c r="K23" s="132">
        <v>2.806E9</v>
      </c>
      <c r="L23" s="132">
        <v>-8.12E8</v>
      </c>
      <c r="M23" s="133">
        <v>8.41E8</v>
      </c>
      <c r="N23" s="132">
        <v>1.419E9</v>
      </c>
      <c r="O23" s="132">
        <v>6.605E9</v>
      </c>
      <c r="P23" s="132">
        <v>2.9254E10</v>
      </c>
      <c r="Q23" s="132">
        <v>2.92835E10</v>
      </c>
      <c r="R23" s="132">
        <v>7.278E9</v>
      </c>
      <c r="S23" s="132">
        <v>1.356E9</v>
      </c>
      <c r="T23" s="132">
        <v>7.976E9</v>
      </c>
      <c r="U23" s="132">
        <v>7.7115E9</v>
      </c>
      <c r="V23" s="132">
        <v>1.1396E10</v>
      </c>
      <c r="W23" s="132">
        <v>1.868E10</v>
      </c>
      <c r="X23" s="132">
        <v>3.157E9</v>
      </c>
      <c r="Y23" s="132">
        <v>2.365E9</v>
      </c>
      <c r="Z23" s="132">
        <v>1.62E8</v>
      </c>
      <c r="AA23" s="132">
        <v>2.203E9</v>
      </c>
      <c r="AB23" s="132">
        <v>5.34E8</v>
      </c>
      <c r="AC23" s="134">
        <v>0.2423967317294598</v>
      </c>
      <c r="AD23" s="130"/>
      <c r="AE23" s="135">
        <v>0.367172986558846</v>
      </c>
      <c r="AF23" s="135">
        <v>0.1292208501803082</v>
      </c>
      <c r="AG23" s="135">
        <v>0.09119221942957054</v>
      </c>
      <c r="AH23" s="135">
        <v>0.2164300071322051</v>
      </c>
      <c r="AI23" s="135">
        <v>0.0569945532467089</v>
      </c>
      <c r="AJ23" s="136">
        <v>1.791731729459827E9</v>
      </c>
      <c r="AK23" s="135">
        <v>0.0959171161381064</v>
      </c>
      <c r="AL23" s="135">
        <v>0.5038945476333133</v>
      </c>
      <c r="AM23" s="135">
        <v>0.421765295887663</v>
      </c>
      <c r="AN23" s="135">
        <v>1.428786359077232</v>
      </c>
      <c r="AO23" s="135">
        <v>14.59876543209877</v>
      </c>
      <c r="AP23" s="135">
        <v>0.2462267462267462</v>
      </c>
      <c r="AQ23" s="132">
        <v>9.977E9</v>
      </c>
      <c r="AR23" s="135">
        <v>3.160278745644599</v>
      </c>
      <c r="AS23" s="135">
        <v>0.907529541082715</v>
      </c>
      <c r="AT23" s="135">
        <v>0.7212146194009343</v>
      </c>
      <c r="AU23" s="135">
        <v>0.1949711459192086</v>
      </c>
      <c r="AV23" s="132">
        <v>2.876563560616895E10</v>
      </c>
      <c r="AW23" s="132">
        <v>3.874263560616895E10</v>
      </c>
      <c r="AX23" s="135">
        <v>17.23525202307163</v>
      </c>
      <c r="AY23" s="135">
        <v>1.571720883300675</v>
      </c>
      <c r="AZ23" s="135">
        <v>14.42609609135855</v>
      </c>
      <c r="BA23" s="135">
        <v>12.27197833581531</v>
      </c>
      <c r="BB23" s="135">
        <v>0.0314877742310604</v>
      </c>
      <c r="BC23" s="135">
        <v>3.606524022839637</v>
      </c>
    </row>
    <row r="24" ht="15.75" customHeight="1">
      <c r="A24" s="130" t="s">
        <v>28</v>
      </c>
      <c r="B24" s="130">
        <v>2024.0</v>
      </c>
      <c r="C24" s="131">
        <v>74.04560852050781</v>
      </c>
      <c r="D24" s="132">
        <v>2.0438E10</v>
      </c>
      <c r="E24" s="132">
        <v>7.211E9</v>
      </c>
      <c r="F24" s="132">
        <v>1.418E9</v>
      </c>
      <c r="G24" s="130">
        <v>3.08</v>
      </c>
      <c r="H24" s="130">
        <v>2.13</v>
      </c>
      <c r="I24" s="130">
        <v>4.61E8</v>
      </c>
      <c r="J24" s="132">
        <v>2.122E9</v>
      </c>
      <c r="K24" s="132">
        <v>3.061E9</v>
      </c>
      <c r="L24" s="132">
        <v>-9.39E8</v>
      </c>
      <c r="M24" s="133">
        <v>9.1E8</v>
      </c>
      <c r="N24" s="132">
        <v>1.563E9</v>
      </c>
      <c r="O24" s="132">
        <v>6.638E9</v>
      </c>
      <c r="P24" s="132">
        <v>3.11E10</v>
      </c>
      <c r="Q24" s="132">
        <v>3.0177E10</v>
      </c>
      <c r="R24" s="132">
        <v>8.149E9</v>
      </c>
      <c r="S24" s="132">
        <v>1.608E9</v>
      </c>
      <c r="T24" s="132">
        <v>8.489E9</v>
      </c>
      <c r="U24" s="132">
        <v>8.2325E9</v>
      </c>
      <c r="V24" s="132">
        <v>1.1331E10</v>
      </c>
      <c r="W24" s="132">
        <v>1.9112E10</v>
      </c>
      <c r="X24" s="132">
        <v>3.111E9</v>
      </c>
      <c r="Y24" s="132">
        <v>2.178E9</v>
      </c>
      <c r="Z24" s="132">
        <v>2.42E8</v>
      </c>
      <c r="AA24" s="132">
        <v>1.936E9</v>
      </c>
      <c r="AB24" s="132">
        <v>4.92E8</v>
      </c>
      <c r="AC24" s="134">
        <v>0.2541322314049587</v>
      </c>
      <c r="AD24" s="130"/>
      <c r="AE24" s="135">
        <v>0.3528231725217731</v>
      </c>
      <c r="AF24" s="135">
        <v>0.1065662002152852</v>
      </c>
      <c r="AG24" s="135">
        <v>0.06938056561307368</v>
      </c>
      <c r="AH24" s="135">
        <v>0.1722441542666262</v>
      </c>
      <c r="AI24" s="135">
        <v>0.04698942903535806</v>
      </c>
      <c r="AJ24" s="136">
        <v>1.6245E9</v>
      </c>
      <c r="AK24" s="135">
        <v>0.08499895353704479</v>
      </c>
      <c r="AL24" s="135">
        <v>0.6417489421720733</v>
      </c>
      <c r="AM24" s="135">
        <v>0.4288407163053723</v>
      </c>
      <c r="AN24" s="135">
        <v>1.334786193897986</v>
      </c>
      <c r="AO24" s="135">
        <v>9.0</v>
      </c>
      <c r="AP24" s="135">
        <v>0.270143853146236</v>
      </c>
      <c r="AQ24" s="132">
        <v>9.768E9</v>
      </c>
      <c r="AR24" s="135">
        <v>3.139826422372228</v>
      </c>
      <c r="AS24" s="135">
        <v>0.8145784758866118</v>
      </c>
      <c r="AT24" s="135">
        <v>0.6172536507546939</v>
      </c>
      <c r="AU24" s="135">
        <v>0.1918026751748681</v>
      </c>
      <c r="AV24" s="132">
        <v>3.41350255279541E10</v>
      </c>
      <c r="AW24" s="132">
        <v>4.39030255279541E10</v>
      </c>
      <c r="AX24" s="135">
        <v>24.04078198717786</v>
      </c>
      <c r="AY24" s="135">
        <v>1.670174455815349</v>
      </c>
      <c r="AZ24" s="135">
        <v>16.08625142693407</v>
      </c>
      <c r="BA24" s="135">
        <v>14.11219078365609</v>
      </c>
      <c r="BB24" s="135">
        <v>0.02876605436242814</v>
      </c>
      <c r="BC24" s="135">
        <v>4.021089118618695</v>
      </c>
    </row>
    <row r="25" ht="15.75" customHeight="1">
      <c r="A25" s="130" t="s">
        <v>28</v>
      </c>
      <c r="B25" s="130">
        <v>2025.0</v>
      </c>
      <c r="C25" s="131">
        <v>89.74137115478516</v>
      </c>
      <c r="D25" s="132">
        <v>2.0901E10</v>
      </c>
      <c r="E25" s="132">
        <v>7.44E9</v>
      </c>
      <c r="F25" s="132">
        <v>1.942E9</v>
      </c>
      <c r="G25" s="130">
        <v>4.26</v>
      </c>
      <c r="H25" s="130">
        <v>2.33</v>
      </c>
      <c r="I25" s="130">
        <v>4.56E8</v>
      </c>
      <c r="J25" s="132">
        <v>2.003E9</v>
      </c>
      <c r="K25" s="132">
        <v>2.953E9</v>
      </c>
      <c r="L25" s="132">
        <v>-9.5E8</v>
      </c>
      <c r="M25" s="133">
        <v>9.27E8</v>
      </c>
      <c r="N25" s="132">
        <v>9.18E8</v>
      </c>
      <c r="O25" s="132">
        <v>6.079E9</v>
      </c>
      <c r="P25" s="132">
        <v>2.9872E10</v>
      </c>
      <c r="Q25" s="132">
        <v>3.0486E10</v>
      </c>
      <c r="R25" s="132">
        <v>7.585E9</v>
      </c>
      <c r="S25" s="132">
        <v>1.547E9</v>
      </c>
      <c r="T25" s="132">
        <v>7.835E9</v>
      </c>
      <c r="U25" s="132">
        <v>8.162E9</v>
      </c>
      <c r="V25" s="132">
        <v>1.0694E10</v>
      </c>
      <c r="W25" s="132">
        <v>1.783E10</v>
      </c>
      <c r="X25" s="132">
        <v>3.766E9</v>
      </c>
      <c r="Y25" s="132">
        <v>2.843E9</v>
      </c>
      <c r="Z25" s="132">
        <v>2.74E8</v>
      </c>
      <c r="AA25" s="132">
        <v>2.569E9</v>
      </c>
      <c r="AB25" s="132">
        <v>5.9E8</v>
      </c>
      <c r="AC25" s="134">
        <v>0.2296613468275594</v>
      </c>
      <c r="AD25" s="130"/>
      <c r="AE25" s="135">
        <v>0.355963829481843</v>
      </c>
      <c r="AF25" s="135">
        <v>0.1360221998947419</v>
      </c>
      <c r="AG25" s="135">
        <v>0.0929142146308789</v>
      </c>
      <c r="AH25" s="135">
        <v>0.2379318794413134</v>
      </c>
      <c r="AI25" s="135">
        <v>0.06370137112117037</v>
      </c>
      <c r="AJ25" s="136">
        <v>2.190072790969249E9</v>
      </c>
      <c r="AK25" s="135">
        <v>0.1228307790784772</v>
      </c>
      <c r="AL25" s="135">
        <v>0.4773429454170958</v>
      </c>
      <c r="AM25" s="135">
        <v>0.4628057913130305</v>
      </c>
      <c r="AN25" s="135">
        <v>1.364901084875559</v>
      </c>
      <c r="AO25" s="135">
        <v>10.37591240875912</v>
      </c>
      <c r="AP25" s="135">
        <v>0.2761361511127735</v>
      </c>
      <c r="AQ25" s="132">
        <v>9.776E9</v>
      </c>
      <c r="AR25" s="135">
        <v>2.595857673924588</v>
      </c>
      <c r="AS25" s="135">
        <v>0.8014502307185234</v>
      </c>
      <c r="AT25" s="135">
        <v>0.5974950560316414</v>
      </c>
      <c r="AU25" s="135">
        <v>0.1210283454185893</v>
      </c>
      <c r="AV25" s="132">
        <v>4.092206524658203E10</v>
      </c>
      <c r="AW25" s="132">
        <v>5.069806524658203E10</v>
      </c>
      <c r="AX25" s="135">
        <v>21.06604956685098</v>
      </c>
      <c r="AY25" s="135">
        <v>1.957899873048277</v>
      </c>
      <c r="AZ25" s="135">
        <v>20.43038704272692</v>
      </c>
      <c r="BA25" s="135">
        <v>13.46204600280989</v>
      </c>
      <c r="BB25" s="135">
        <v>0.02596349899737141</v>
      </c>
      <c r="BC25" s="135">
        <v>5.222982162933252</v>
      </c>
    </row>
    <row r="26" ht="15.75" customHeight="1">
      <c r="A26" s="130" t="s">
        <v>27</v>
      </c>
      <c r="B26" s="130">
        <v>2022.0</v>
      </c>
      <c r="C26" s="131">
        <v>339.1000061035156</v>
      </c>
      <c r="D26" s="132">
        <v>5.4022E10</v>
      </c>
      <c r="E26" s="132">
        <v>2.9511E10</v>
      </c>
      <c r="F26" s="132">
        <v>5.055E9</v>
      </c>
      <c r="G26" s="130">
        <v>30.74</v>
      </c>
      <c r="H26" s="130"/>
      <c r="I26" s="130">
        <v>1.64433596E8</v>
      </c>
      <c r="J26" s="132">
        <v>5.549E9</v>
      </c>
      <c r="K26" s="132">
        <v>1.4925E10</v>
      </c>
      <c r="L26" s="132">
        <v>-9.376E9</v>
      </c>
      <c r="M26" s="133"/>
      <c r="N26" s="132">
        <v>6.45E8</v>
      </c>
      <c r="O26" s="132">
        <v>4.017E9</v>
      </c>
      <c r="P26" s="132">
        <v>1.44523E11</v>
      </c>
      <c r="Q26" s="132">
        <v>1.44523E11</v>
      </c>
      <c r="R26" s="132">
        <v>1.2065E10</v>
      </c>
      <c r="S26" s="132"/>
      <c r="T26" s="132">
        <v>9.119E9</v>
      </c>
      <c r="U26" s="132">
        <v>9.119E9</v>
      </c>
      <c r="V26" s="132">
        <v>9.7603E10</v>
      </c>
      <c r="W26" s="132">
        <v>1.06722E11</v>
      </c>
      <c r="X26" s="132">
        <v>2.0921E10</v>
      </c>
      <c r="Y26" s="132">
        <v>1.2018E10</v>
      </c>
      <c r="Z26" s="132">
        <v>4.556E9</v>
      </c>
      <c r="AA26" s="132">
        <v>7.462E9</v>
      </c>
      <c r="AB26" s="132">
        <v>1.613E9</v>
      </c>
      <c r="AC26" s="134">
        <v>0.2161618868935942</v>
      </c>
      <c r="AD26" s="130"/>
      <c r="AE26" s="135">
        <v>0.5462774425234164</v>
      </c>
      <c r="AF26" s="135">
        <v>0.2224649216985672</v>
      </c>
      <c r="AG26" s="135">
        <v>0.09357298878234793</v>
      </c>
      <c r="AH26" s="135">
        <v>0.5543370983660489</v>
      </c>
      <c r="AI26" s="135">
        <v>0.03497713166762384</v>
      </c>
      <c r="AJ26" s="136">
        <v>9.420166443312786E9</v>
      </c>
      <c r="AK26" s="135">
        <v>0.08826827124035144</v>
      </c>
      <c r="AL26" s="135"/>
      <c r="AM26" s="135"/>
      <c r="AN26" s="135">
        <v>10.70325693606755</v>
      </c>
      <c r="AO26" s="135">
        <v>2.63784021071115</v>
      </c>
      <c r="AP26" s="135">
        <v>0.152915381699333</v>
      </c>
      <c r="AQ26" s="132">
        <v>9.6958E10</v>
      </c>
      <c r="AR26" s="135">
        <v>4.634482099326036</v>
      </c>
      <c r="AS26" s="135">
        <v>0.3329465395772897</v>
      </c>
      <c r="AT26" s="135">
        <v>0.3329465395772897</v>
      </c>
      <c r="AU26" s="135">
        <v>0.0534604227103191</v>
      </c>
      <c r="AV26" s="132">
        <v>5.575943340722302E10</v>
      </c>
      <c r="AW26" s="132">
        <v>1.52717433407223E11</v>
      </c>
      <c r="AX26" s="135">
        <v>11.03122986673766</v>
      </c>
      <c r="AY26" s="135">
        <v>1.032161589856411</v>
      </c>
      <c r="AZ26" s="135">
        <v>10.04855530856425</v>
      </c>
      <c r="BA26" s="135">
        <v>7.299719583539172</v>
      </c>
      <c r="BB26" s="135"/>
      <c r="BC26" s="135">
        <v>6.114643426606319</v>
      </c>
    </row>
    <row r="27" ht="15.75" customHeight="1">
      <c r="A27" s="130" t="s">
        <v>27</v>
      </c>
      <c r="B27" s="130">
        <v>2023.0</v>
      </c>
      <c r="C27" s="131">
        <v>388.6799926757812</v>
      </c>
      <c r="D27" s="132">
        <v>5.4607E10</v>
      </c>
      <c r="E27" s="132">
        <v>2.9907E10</v>
      </c>
      <c r="F27" s="132">
        <v>4.557E9</v>
      </c>
      <c r="G27" s="130">
        <v>29.99</v>
      </c>
      <c r="H27" s="130"/>
      <c r="I27" s="130">
        <v>1.51966313E8</v>
      </c>
      <c r="J27" s="132">
        <v>3.318E9</v>
      </c>
      <c r="K27" s="132">
        <v>1.4433E10</v>
      </c>
      <c r="L27" s="132">
        <v>-1.1115E10</v>
      </c>
      <c r="M27" s="133"/>
      <c r="N27" s="132">
        <v>7.09E8</v>
      </c>
      <c r="O27" s="132">
        <v>4.132E9</v>
      </c>
      <c r="P27" s="132">
        <v>1.47193E11</v>
      </c>
      <c r="Q27" s="132">
        <v>1.45858E11</v>
      </c>
      <c r="R27" s="132">
        <v>1.3214E10</v>
      </c>
      <c r="S27" s="132"/>
      <c r="T27" s="132">
        <v>1.1086E10</v>
      </c>
      <c r="U27" s="132">
        <v>1.01025E10</v>
      </c>
      <c r="V27" s="132">
        <v>9.8202E10</v>
      </c>
      <c r="W27" s="132">
        <v>1.09288E11</v>
      </c>
      <c r="X27" s="132">
        <v>2.0738E10</v>
      </c>
      <c r="Y27" s="132">
        <v>1.2042E10</v>
      </c>
      <c r="Z27" s="132">
        <v>5.188E9</v>
      </c>
      <c r="AA27" s="132">
        <v>6.854E9</v>
      </c>
      <c r="AB27" s="132">
        <v>1.593E9</v>
      </c>
      <c r="AC27" s="134">
        <v>0.2324190253866355</v>
      </c>
      <c r="AD27" s="130"/>
      <c r="AE27" s="135">
        <v>0.5476770377424139</v>
      </c>
      <c r="AF27" s="135">
        <v>0.2205211786034758</v>
      </c>
      <c r="AG27" s="135">
        <v>0.08345083963594412</v>
      </c>
      <c r="AH27" s="135">
        <v>0.4510764662212324</v>
      </c>
      <c r="AI27" s="135">
        <v>0.03124271551783241</v>
      </c>
      <c r="AJ27" s="136">
        <v>9.243210096294136E9</v>
      </c>
      <c r="AK27" s="135">
        <v>0.08457662411512824</v>
      </c>
      <c r="AL27" s="135"/>
      <c r="AM27" s="135"/>
      <c r="AN27" s="135">
        <v>8.858199530939924</v>
      </c>
      <c r="AO27" s="135">
        <v>2.32112567463377</v>
      </c>
      <c r="AP27" s="135">
        <v>0.146972566750168</v>
      </c>
      <c r="AQ27" s="132">
        <v>9.7493E10</v>
      </c>
      <c r="AR27" s="135">
        <v>4.701176584048606</v>
      </c>
      <c r="AS27" s="135">
        <v>0.3126986529438474</v>
      </c>
      <c r="AT27" s="135">
        <v>0.3126986529438474</v>
      </c>
      <c r="AU27" s="135">
        <v>0.05365521416679279</v>
      </c>
      <c r="AV27" s="132">
        <v>5.906626542380548E10</v>
      </c>
      <c r="AW27" s="132">
        <v>1.565592654238055E11</v>
      </c>
      <c r="AX27" s="135">
        <v>12.9603198624802</v>
      </c>
      <c r="AY27" s="135">
        <v>1.081661058542046</v>
      </c>
      <c r="AZ27" s="135">
        <v>17.80176775883227</v>
      </c>
      <c r="BA27" s="135">
        <v>7.549390752425763</v>
      </c>
      <c r="BB27" s="135"/>
      <c r="BC27" s="135">
        <v>5.328005179848952</v>
      </c>
    </row>
    <row r="28" ht="15.75" customHeight="1">
      <c r="A28" s="130" t="s">
        <v>27</v>
      </c>
      <c r="B28" s="130">
        <v>2024.0</v>
      </c>
      <c r="C28" s="131">
        <v>342.7699890136719</v>
      </c>
      <c r="D28" s="132">
        <v>5.5085E10</v>
      </c>
      <c r="E28" s="132">
        <v>3.0736E10</v>
      </c>
      <c r="F28" s="132">
        <v>5.083E9</v>
      </c>
      <c r="G28" s="130">
        <v>34.97</v>
      </c>
      <c r="H28" s="130"/>
      <c r="I28" s="130">
        <v>1.45363771E8</v>
      </c>
      <c r="J28" s="132">
        <v>3.161E9</v>
      </c>
      <c r="K28" s="132">
        <v>1.443E10</v>
      </c>
      <c r="L28" s="132">
        <v>-1.1269E10</v>
      </c>
      <c r="M28" s="133"/>
      <c r="N28" s="132">
        <v>4.59E8</v>
      </c>
      <c r="O28" s="132">
        <v>4.233E9</v>
      </c>
      <c r="P28" s="132">
        <v>1.5002E11</v>
      </c>
      <c r="Q28" s="132">
        <v>1.486065E11</v>
      </c>
      <c r="R28" s="132">
        <v>1.3486E10</v>
      </c>
      <c r="S28" s="132"/>
      <c r="T28" s="132">
        <v>1.5587E10</v>
      </c>
      <c r="U28" s="132">
        <v>1.33365E10</v>
      </c>
      <c r="V28" s="132">
        <v>9.5763E10</v>
      </c>
      <c r="W28" s="132">
        <v>1.1135E11</v>
      </c>
      <c r="X28" s="132">
        <v>2.1404E10</v>
      </c>
      <c r="Y28" s="132">
        <v>1.2731E10</v>
      </c>
      <c r="Z28" s="132">
        <v>5.229E9</v>
      </c>
      <c r="AA28" s="132">
        <v>7.502E9</v>
      </c>
      <c r="AB28" s="132">
        <v>1.649E9</v>
      </c>
      <c r="AC28" s="134">
        <v>0.2198080511863503</v>
      </c>
      <c r="AD28" s="130"/>
      <c r="AE28" s="135">
        <v>0.5579740401198149</v>
      </c>
      <c r="AF28" s="135">
        <v>0.2311155486974676</v>
      </c>
      <c r="AG28" s="135">
        <v>0.09227557411273486</v>
      </c>
      <c r="AH28" s="135">
        <v>0.3811344805608668</v>
      </c>
      <c r="AI28" s="135">
        <v>0.03420442578218315</v>
      </c>
      <c r="AJ28" s="136">
        <v>9.932623700346575E9</v>
      </c>
      <c r="AK28" s="135">
        <v>0.08920182936997373</v>
      </c>
      <c r="AL28" s="135"/>
      <c r="AM28" s="135"/>
      <c r="AN28" s="135">
        <v>6.143773657535125</v>
      </c>
      <c r="AO28" s="135">
        <v>2.434691145534519</v>
      </c>
      <c r="AP28" s="135">
        <v>0.1506845023652141</v>
      </c>
      <c r="AQ28" s="132">
        <v>9.5304E10</v>
      </c>
      <c r="AR28" s="135">
        <v>4.452625677443469</v>
      </c>
      <c r="AS28" s="135">
        <v>0.3138810618419101</v>
      </c>
      <c r="AT28" s="135">
        <v>0.3138810618419101</v>
      </c>
      <c r="AU28" s="135">
        <v>0.0340352958623758</v>
      </c>
      <c r="AV28" s="132">
        <v>4.982633818865591E10</v>
      </c>
      <c r="AW28" s="132">
        <v>1.451303381886559E11</v>
      </c>
      <c r="AX28" s="135">
        <v>9.80182982595573</v>
      </c>
      <c r="AY28" s="135">
        <v>0.9045355031071238</v>
      </c>
      <c r="AZ28" s="135">
        <v>15.76284030011259</v>
      </c>
      <c r="BA28" s="135">
        <v>6.780524116457481</v>
      </c>
      <c r="BB28" s="135"/>
      <c r="BC28" s="135">
        <v>3.196659921001855</v>
      </c>
    </row>
    <row r="29" ht="15.75" customHeight="1">
      <c r="A29" s="130" t="s">
        <v>27</v>
      </c>
      <c r="B29" s="130">
        <v>2025.0</v>
      </c>
      <c r="C29" s="131">
        <v>208.75</v>
      </c>
      <c r="D29" s="132">
        <v>5.4774E10</v>
      </c>
      <c r="E29" s="132">
        <v>3.0968E10</v>
      </c>
      <c r="F29" s="132">
        <v>4.987E9</v>
      </c>
      <c r="G29" s="130">
        <v>36.21</v>
      </c>
      <c r="H29" s="130"/>
      <c r="I29" s="130">
        <v>1.37743676E8</v>
      </c>
      <c r="J29" s="132">
        <v>4.418E9</v>
      </c>
      <c r="K29" s="132">
        <v>1.6077E10</v>
      </c>
      <c r="L29" s="132">
        <v>-1.1659E10</v>
      </c>
      <c r="M29" s="133"/>
      <c r="N29" s="132">
        <v>4.77E8</v>
      </c>
      <c r="O29" s="132">
        <v>5.144E9</v>
      </c>
      <c r="P29" s="132">
        <v>1.54213E11</v>
      </c>
      <c r="Q29" s="132">
        <v>1.521165E11</v>
      </c>
      <c r="R29" s="132">
        <v>1.3306E10</v>
      </c>
      <c r="S29" s="132"/>
      <c r="T29" s="132">
        <v>1.6054E10</v>
      </c>
      <c r="U29" s="132">
        <v>1.58205E10</v>
      </c>
      <c r="V29" s="132">
        <v>9.7121E10</v>
      </c>
      <c r="W29" s="132">
        <v>1.13175E11</v>
      </c>
      <c r="X29" s="132">
        <v>2.1211E10</v>
      </c>
      <c r="Y29" s="132">
        <v>1.25E10</v>
      </c>
      <c r="Z29" s="132">
        <v>5.042E9</v>
      </c>
      <c r="AA29" s="132">
        <v>7.458E9</v>
      </c>
      <c r="AB29" s="132">
        <v>1.692E9</v>
      </c>
      <c r="AC29" s="134">
        <v>0.2268704746580853</v>
      </c>
      <c r="AD29" s="130"/>
      <c r="AE29" s="135">
        <v>0.5653777339613685</v>
      </c>
      <c r="AF29" s="135">
        <v>0.2282104648190748</v>
      </c>
      <c r="AG29" s="135">
        <v>0.09104684704421806</v>
      </c>
      <c r="AH29" s="135">
        <v>0.3152239183338074</v>
      </c>
      <c r="AI29" s="135">
        <v>0.03278408325198121</v>
      </c>
      <c r="AJ29" s="136">
        <v>9.664119066773933E9</v>
      </c>
      <c r="AK29" s="135">
        <v>0.08539093498364421</v>
      </c>
      <c r="AL29" s="135"/>
      <c r="AM29" s="135"/>
      <c r="AN29" s="135">
        <v>6.049644948299489</v>
      </c>
      <c r="AO29" s="135">
        <v>2.479174930583102</v>
      </c>
      <c r="AP29" s="135">
        <v>0.1655357749611309</v>
      </c>
      <c r="AQ29" s="132">
        <v>9.6644E10</v>
      </c>
      <c r="AR29" s="135">
        <v>4.55631511951346</v>
      </c>
      <c r="AS29" s="135">
        <v>0.3865925146550429</v>
      </c>
      <c r="AT29" s="135">
        <v>0.3865925146550429</v>
      </c>
      <c r="AU29" s="135">
        <v>0.03584848940327671</v>
      </c>
      <c r="AV29" s="132">
        <v>2.8753992365E10</v>
      </c>
      <c r="AW29" s="132">
        <v>1.25397992365E11</v>
      </c>
      <c r="AX29" s="135">
        <v>5.764982049157691</v>
      </c>
      <c r="AY29" s="135">
        <v>0.5249569570416621</v>
      </c>
      <c r="AZ29" s="135">
        <v>6.50837310208239</v>
      </c>
      <c r="BA29" s="135">
        <v>5.911932127905332</v>
      </c>
      <c r="BB29" s="135"/>
      <c r="BC29" s="135">
        <v>1.791079629064408</v>
      </c>
    </row>
    <row r="30" ht="15.75" customHeight="1">
      <c r="A30" s="130" t="s">
        <v>11</v>
      </c>
      <c r="B30" s="130">
        <v>2022.0</v>
      </c>
      <c r="C30" s="131">
        <v>436.9051208496094</v>
      </c>
      <c r="D30" s="132">
        <v>2.26954E11</v>
      </c>
      <c r="E30" s="132">
        <v>2.7572E10</v>
      </c>
      <c r="F30" s="132">
        <v>5.844E9</v>
      </c>
      <c r="G30" s="130">
        <v>13.14</v>
      </c>
      <c r="H30" s="130">
        <v>3.49</v>
      </c>
      <c r="I30" s="130">
        <v>4.44757E8</v>
      </c>
      <c r="J30" s="132">
        <v>3.501E9</v>
      </c>
      <c r="K30" s="132">
        <v>7.392E9</v>
      </c>
      <c r="L30" s="132">
        <v>-3.891E9</v>
      </c>
      <c r="M30" s="133">
        <v>1.498E9</v>
      </c>
      <c r="N30" s="132">
        <v>1.0203E10</v>
      </c>
      <c r="O30" s="132">
        <v>3.2696E10</v>
      </c>
      <c r="P30" s="132">
        <v>6.4166E10</v>
      </c>
      <c r="Q30" s="132">
        <v>6.4166E10</v>
      </c>
      <c r="R30" s="132">
        <v>3.1998E10</v>
      </c>
      <c r="S30" s="132">
        <v>1.7907E10</v>
      </c>
      <c r="T30" s="132">
        <v>2.0642E10</v>
      </c>
      <c r="U30" s="132">
        <v>2.0642E10</v>
      </c>
      <c r="V30" s="132">
        <v>9.039E9</v>
      </c>
      <c r="W30" s="132">
        <v>2.7199E10</v>
      </c>
      <c r="X30" s="132">
        <v>9.898E9</v>
      </c>
      <c r="Y30" s="132">
        <v>7.998E9</v>
      </c>
      <c r="Z30" s="132">
        <v>1.58E8</v>
      </c>
      <c r="AA30" s="132">
        <v>7.84E9</v>
      </c>
      <c r="AB30" s="132">
        <v>1.925E9</v>
      </c>
      <c r="AC30" s="134">
        <v>0.2455357142857143</v>
      </c>
      <c r="AD30" s="130"/>
      <c r="AE30" s="135">
        <v>0.1214871736122738</v>
      </c>
      <c r="AF30" s="135">
        <v>0.035240621447518</v>
      </c>
      <c r="AG30" s="135">
        <v>0.02574971139526071</v>
      </c>
      <c r="AH30" s="135">
        <v>0.2831121015405484</v>
      </c>
      <c r="AI30" s="135">
        <v>0.0910762709222953</v>
      </c>
      <c r="AJ30" s="136">
        <v>6.034205357142857E9</v>
      </c>
      <c r="AK30" s="135">
        <v>0.2218539415839868</v>
      </c>
      <c r="AL30" s="135">
        <v>0.256331279945243</v>
      </c>
      <c r="AM30" s="135">
        <v>0.4278777492145102</v>
      </c>
      <c r="AN30" s="135">
        <v>0.4378936149597907</v>
      </c>
      <c r="AO30" s="135">
        <v>50.62025316455696</v>
      </c>
      <c r="AP30" s="135">
        <v>0.8177895784931961</v>
      </c>
      <c r="AQ30" s="132">
        <v>-1.164E9</v>
      </c>
      <c r="AR30" s="135">
        <v>-0.1175995150535462</v>
      </c>
      <c r="AS30" s="135">
        <v>1.02181386336646</v>
      </c>
      <c r="AT30" s="135">
        <v>0.4621851365710357</v>
      </c>
      <c r="AU30" s="135">
        <v>0.3188636789799362</v>
      </c>
      <c r="AV30" s="132">
        <v>1.943166108337097E11</v>
      </c>
      <c r="AW30" s="132">
        <v>1.931526108337097E11</v>
      </c>
      <c r="AX30" s="135">
        <v>33.25000919707833</v>
      </c>
      <c r="AY30" s="135">
        <v>0.8561938138728981</v>
      </c>
      <c r="AZ30" s="135">
        <v>55.5031736171693</v>
      </c>
      <c r="BA30" s="135">
        <v>19.51430701492319</v>
      </c>
      <c r="BB30" s="135">
        <v>0.007988004336532647</v>
      </c>
      <c r="BC30" s="135">
        <v>9.413652302766675</v>
      </c>
    </row>
    <row r="31" ht="15.75" customHeight="1">
      <c r="A31" s="130" t="s">
        <v>11</v>
      </c>
      <c r="B31" s="130">
        <v>2023.0</v>
      </c>
      <c r="C31" s="131">
        <v>651.0054321289062</v>
      </c>
      <c r="D31" s="132">
        <v>2.4229E11</v>
      </c>
      <c r="E31" s="132">
        <v>2.9704E10</v>
      </c>
      <c r="F31" s="132">
        <v>6.292E9</v>
      </c>
      <c r="G31" s="130">
        <v>14.16</v>
      </c>
      <c r="H31" s="130">
        <v>18.96</v>
      </c>
      <c r="I31" s="130">
        <v>4.44452E8</v>
      </c>
      <c r="J31" s="132">
        <v>6.745E9</v>
      </c>
      <c r="K31" s="132">
        <v>1.1068E10</v>
      </c>
      <c r="L31" s="132">
        <v>-4.323E9</v>
      </c>
      <c r="M31" s="133">
        <v>1.251E9</v>
      </c>
      <c r="N31" s="132">
        <v>1.37E10</v>
      </c>
      <c r="O31" s="132">
        <v>3.5879E10</v>
      </c>
      <c r="P31" s="132">
        <v>6.8994E10</v>
      </c>
      <c r="Q31" s="132">
        <v>6.658E10</v>
      </c>
      <c r="R31" s="132">
        <v>3.3583E10</v>
      </c>
      <c r="S31" s="132">
        <v>1.6651E10</v>
      </c>
      <c r="T31" s="132">
        <v>2.5058E10</v>
      </c>
      <c r="U31" s="132">
        <v>2.285E10</v>
      </c>
      <c r="V31" s="132">
        <v>8.884E9</v>
      </c>
      <c r="W31" s="132">
        <v>3.1516E10</v>
      </c>
      <c r="X31" s="132">
        <v>1.0724E10</v>
      </c>
      <c r="Y31" s="132">
        <v>8.647E9</v>
      </c>
      <c r="Z31" s="132">
        <v>1.6E8</v>
      </c>
      <c r="AA31" s="132">
        <v>8.487E9</v>
      </c>
      <c r="AB31" s="132">
        <v>2.195E9</v>
      </c>
      <c r="AC31" s="134">
        <v>0.258630847178037</v>
      </c>
      <c r="AD31" s="130"/>
      <c r="AE31" s="135">
        <v>0.1225968880267448</v>
      </c>
      <c r="AF31" s="135">
        <v>0.03568863758306162</v>
      </c>
      <c r="AG31" s="135">
        <v>0.0259688802674481</v>
      </c>
      <c r="AH31" s="135">
        <v>0.2753610503282276</v>
      </c>
      <c r="AI31" s="135">
        <v>0.09450285370982277</v>
      </c>
      <c r="AJ31" s="136">
        <v>6.410619064451514E9</v>
      </c>
      <c r="AK31" s="135">
        <v>0.2034083977805405</v>
      </c>
      <c r="AL31" s="135">
        <v>0.1988239033693579</v>
      </c>
      <c r="AM31" s="135">
        <v>0.185470719051149</v>
      </c>
      <c r="AN31" s="135">
        <v>0.354537473062495</v>
      </c>
      <c r="AO31" s="135">
        <v>54.04375</v>
      </c>
      <c r="AP31" s="135">
        <v>1.245835209365151</v>
      </c>
      <c r="AQ31" s="132">
        <v>-4.816E9</v>
      </c>
      <c r="AR31" s="135">
        <v>-0.4490861618798956</v>
      </c>
      <c r="AS31" s="135">
        <v>1.068367924247387</v>
      </c>
      <c r="AT31" s="135">
        <v>0.5725515886013757</v>
      </c>
      <c r="AU31" s="135">
        <v>0.4079444957270048</v>
      </c>
      <c r="AV31" s="132">
        <v>2.893406663205566E11</v>
      </c>
      <c r="AW31" s="132">
        <v>2.845246663205566E11</v>
      </c>
      <c r="AX31" s="135">
        <v>45.9749598961092</v>
      </c>
      <c r="AY31" s="135">
        <v>1.194191532133215</v>
      </c>
      <c r="AZ31" s="135">
        <v>42.89705949897059</v>
      </c>
      <c r="BA31" s="135">
        <v>26.531580223849</v>
      </c>
      <c r="BB31" s="135">
        <v>0.02912418094269559</v>
      </c>
      <c r="BC31" s="135">
        <v>11.54683798868851</v>
      </c>
    </row>
    <row r="32" ht="15.75" customHeight="1">
      <c r="A32" s="130" t="s">
        <v>11</v>
      </c>
      <c r="B32" s="130">
        <v>2024.0</v>
      </c>
      <c r="C32" s="131">
        <v>908.9511108398438</v>
      </c>
      <c r="D32" s="132">
        <v>2.54453E11</v>
      </c>
      <c r="E32" s="132">
        <v>3.2095E10</v>
      </c>
      <c r="F32" s="132">
        <v>7.367E9</v>
      </c>
      <c r="G32" s="130">
        <v>16.56</v>
      </c>
      <c r="H32" s="130">
        <v>4.5</v>
      </c>
      <c r="I32" s="130">
        <v>4.44759E8</v>
      </c>
      <c r="J32" s="132">
        <v>6.629E9</v>
      </c>
      <c r="K32" s="132">
        <v>1.1339E10</v>
      </c>
      <c r="L32" s="132">
        <v>-4.71E9</v>
      </c>
      <c r="M32" s="133">
        <v>1.251E9</v>
      </c>
      <c r="N32" s="132">
        <v>9.906E9</v>
      </c>
      <c r="O32" s="132">
        <v>3.4246E10</v>
      </c>
      <c r="P32" s="132">
        <v>6.9831E10</v>
      </c>
      <c r="Q32" s="132">
        <v>6.94125E10</v>
      </c>
      <c r="R32" s="132">
        <v>3.5464E10</v>
      </c>
      <c r="S32" s="132">
        <v>1.8647E10</v>
      </c>
      <c r="T32" s="132">
        <v>2.3622E10</v>
      </c>
      <c r="U32" s="132">
        <v>2.434E10</v>
      </c>
      <c r="V32" s="132">
        <v>8.169E9</v>
      </c>
      <c r="W32" s="132">
        <v>2.9416E10</v>
      </c>
      <c r="X32" s="132">
        <v>1.2146E10</v>
      </c>
      <c r="Y32" s="132">
        <v>9.909E9</v>
      </c>
      <c r="Z32" s="132">
        <v>1.69E8</v>
      </c>
      <c r="AA32" s="132">
        <v>9.74E9</v>
      </c>
      <c r="AB32" s="132">
        <v>2.373E9</v>
      </c>
      <c r="AC32" s="134">
        <v>0.2436344969199179</v>
      </c>
      <c r="AD32" s="130"/>
      <c r="AE32" s="135">
        <v>0.1261333134213391</v>
      </c>
      <c r="AF32" s="135">
        <v>0.03894235870671597</v>
      </c>
      <c r="AG32" s="135">
        <v>0.02895230160383254</v>
      </c>
      <c r="AH32" s="135">
        <v>0.302670501232539</v>
      </c>
      <c r="AI32" s="135">
        <v>0.1061336214658743</v>
      </c>
      <c r="AJ32" s="136">
        <v>7.494825770020534E9</v>
      </c>
      <c r="AK32" s="135">
        <v>0.2547873867969994</v>
      </c>
      <c r="AL32" s="135">
        <v>0.169811320754717</v>
      </c>
      <c r="AM32" s="135">
        <v>0.1887162467943883</v>
      </c>
      <c r="AN32" s="135">
        <v>0.3458216916433833</v>
      </c>
      <c r="AO32" s="135">
        <v>58.63313609467455</v>
      </c>
      <c r="AP32" s="135">
        <v>1.388052393193781</v>
      </c>
      <c r="AQ32" s="132">
        <v>-1.737E9</v>
      </c>
      <c r="AR32" s="135">
        <v>-0.1430100444590812</v>
      </c>
      <c r="AS32" s="135">
        <v>0.965655312429506</v>
      </c>
      <c r="AT32" s="135">
        <v>0.4398545003383713</v>
      </c>
      <c r="AU32" s="135">
        <v>0.2793255131964809</v>
      </c>
      <c r="AV32" s="132">
        <v>4.042641871060181E11</v>
      </c>
      <c r="AW32" s="132">
        <v>4.025271871060181E11</v>
      </c>
      <c r="AX32" s="135">
        <v>54.8883521038553</v>
      </c>
      <c r="AY32" s="135">
        <v>1.58875779458689</v>
      </c>
      <c r="AZ32" s="135">
        <v>60.98418873223986</v>
      </c>
      <c r="BA32" s="135">
        <v>33.14072016351211</v>
      </c>
      <c r="BB32" s="135">
        <v>0.004950761318551153</v>
      </c>
      <c r="BC32" s="135">
        <v>17.11388481525773</v>
      </c>
    </row>
    <row r="33" ht="15.75" customHeight="1">
      <c r="A33" s="130" t="s">
        <v>11</v>
      </c>
      <c r="B33" s="130">
        <v>2025.0</v>
      </c>
      <c r="C33" s="131">
        <v>859.915771484375</v>
      </c>
      <c r="D33" s="132">
        <v>2.75235E11</v>
      </c>
      <c r="E33" s="132">
        <v>3.5349E10</v>
      </c>
      <c r="F33" s="132">
        <v>8.099E9</v>
      </c>
      <c r="G33" s="130">
        <v>18.21</v>
      </c>
      <c r="H33" s="130">
        <v>5.06</v>
      </c>
      <c r="I33" s="130">
        <v>4.44803E8</v>
      </c>
      <c r="J33" s="132">
        <v>7.837E9</v>
      </c>
      <c r="K33" s="132">
        <v>1.3335E10</v>
      </c>
      <c r="L33" s="132">
        <v>-5.498E9</v>
      </c>
      <c r="M33" s="133">
        <v>1.251E9</v>
      </c>
      <c r="N33" s="132">
        <v>1.4161E10</v>
      </c>
      <c r="O33" s="132">
        <v>3.838E10</v>
      </c>
      <c r="P33" s="132">
        <v>7.7099E10</v>
      </c>
      <c r="Q33" s="132">
        <v>7.3465E10</v>
      </c>
      <c r="R33" s="132">
        <v>3.7108E10</v>
      </c>
      <c r="S33" s="132">
        <v>1.8116E10</v>
      </c>
      <c r="T33" s="132">
        <v>2.9164E10</v>
      </c>
      <c r="U33" s="132">
        <v>2.6393E10</v>
      </c>
      <c r="V33" s="132">
        <v>8.173E9</v>
      </c>
      <c r="W33" s="132">
        <v>3.4877E10</v>
      </c>
      <c r="X33" s="132">
        <v>1.3398E10</v>
      </c>
      <c r="Y33" s="132">
        <v>1.0972E10</v>
      </c>
      <c r="Z33" s="132">
        <v>1.54E8</v>
      </c>
      <c r="AA33" s="132">
        <v>1.0818E10</v>
      </c>
      <c r="AB33" s="132">
        <v>2.719E9</v>
      </c>
      <c r="AC33" s="134">
        <v>0.2513403586614901</v>
      </c>
      <c r="AD33" s="130"/>
      <c r="AE33" s="135">
        <v>0.1284320671426236</v>
      </c>
      <c r="AF33" s="135">
        <v>0.03986411611895289</v>
      </c>
      <c r="AG33" s="135">
        <v>0.02942576343851618</v>
      </c>
      <c r="AH33" s="135">
        <v>0.3068616678664797</v>
      </c>
      <c r="AI33" s="135">
        <v>0.1102429728442115</v>
      </c>
      <c r="AJ33" s="136">
        <v>8.214293584766129E9</v>
      </c>
      <c r="AK33" s="135">
        <v>0.2355217932954706</v>
      </c>
      <c r="AL33" s="135">
        <v>0.1544635140140758</v>
      </c>
      <c r="AM33" s="135">
        <v>0.1596274084471099</v>
      </c>
      <c r="AN33" s="135">
        <v>0.2802427650528048</v>
      </c>
      <c r="AO33" s="135">
        <v>71.24675324675324</v>
      </c>
      <c r="AP33" s="135">
        <v>1.631591826746605</v>
      </c>
      <c r="AQ33" s="132">
        <v>-5.988E9</v>
      </c>
      <c r="AR33" s="135">
        <v>-0.4469323779668607</v>
      </c>
      <c r="AS33" s="135">
        <v>1.034278322733642</v>
      </c>
      <c r="AT33" s="135">
        <v>0.5460817074485286</v>
      </c>
      <c r="AU33" s="135">
        <v>0.3816158240810607</v>
      </c>
      <c r="AV33" s="132">
        <v>3.824931149035645E11</v>
      </c>
      <c r="AW33" s="132">
        <v>3.765051149035645E11</v>
      </c>
      <c r="AX33" s="135">
        <v>47.22217306339236</v>
      </c>
      <c r="AY33" s="135">
        <v>1.389696495371462</v>
      </c>
      <c r="AZ33" s="135">
        <v>48.80606289441935</v>
      </c>
      <c r="BA33" s="135">
        <v>28.10159090189315</v>
      </c>
      <c r="BB33" s="135">
        <v>0.005884297239095285</v>
      </c>
      <c r="BC33" s="135">
        <v>13.11524876229476</v>
      </c>
    </row>
    <row r="34" ht="15.75" customHeight="1">
      <c r="A34" s="130" t="s">
        <v>20</v>
      </c>
      <c r="B34" s="130">
        <v>2022.0</v>
      </c>
      <c r="C34" s="131">
        <v>76.81604766845703</v>
      </c>
      <c r="D34" s="132">
        <v>2.7281E10</v>
      </c>
      <c r="E34" s="132">
        <v>2.1624E10</v>
      </c>
      <c r="F34" s="132">
        <v>4.592E9</v>
      </c>
      <c r="G34" s="130">
        <v>3.64</v>
      </c>
      <c r="H34" s="130">
        <v>2.92</v>
      </c>
      <c r="I34" s="130">
        <v>1.262E9</v>
      </c>
      <c r="J34" s="132">
        <v>8.344E9</v>
      </c>
      <c r="K34" s="132">
        <v>9.072E9</v>
      </c>
      <c r="L34" s="132">
        <v>-7.28E8</v>
      </c>
      <c r="M34" s="133">
        <v>3.709E9</v>
      </c>
      <c r="N34" s="132">
        <v>5.412E9</v>
      </c>
      <c r="O34" s="132">
        <v>1.4443E10</v>
      </c>
      <c r="P34" s="132">
        <v>6.3171E10</v>
      </c>
      <c r="Q34" s="132">
        <v>6.3171E10</v>
      </c>
      <c r="R34" s="132">
        <v>1.1238E10</v>
      </c>
      <c r="S34" s="132">
        <v>1.507E9</v>
      </c>
      <c r="T34" s="132">
        <v>2.124E10</v>
      </c>
      <c r="U34" s="132">
        <v>2.124E10</v>
      </c>
      <c r="V34" s="132">
        <v>2.523E10</v>
      </c>
      <c r="W34" s="132">
        <v>4.647E10</v>
      </c>
      <c r="X34" s="132">
        <v>8.852E9</v>
      </c>
      <c r="Y34" s="132">
        <v>6.749E9</v>
      </c>
      <c r="Z34" s="132">
        <v>9.35E8</v>
      </c>
      <c r="AA34" s="132">
        <v>5.814E9</v>
      </c>
      <c r="AB34" s="132">
        <v>1.248E9</v>
      </c>
      <c r="AC34" s="134">
        <v>0.2146542827657379</v>
      </c>
      <c r="AD34" s="130"/>
      <c r="AE34" s="135">
        <v>0.7926395659983139</v>
      </c>
      <c r="AF34" s="135">
        <v>0.2473882922180272</v>
      </c>
      <c r="AG34" s="135">
        <v>0.1683222755764085</v>
      </c>
      <c r="AH34" s="135">
        <v>0.216195856873823</v>
      </c>
      <c r="AI34" s="135">
        <v>0.07269158316316031</v>
      </c>
      <c r="AJ34" s="136">
        <v>5.300298245614036E9</v>
      </c>
      <c r="AK34" s="135">
        <v>0.1140584946333987</v>
      </c>
      <c r="AL34" s="135">
        <v>0.8077090592334495</v>
      </c>
      <c r="AM34" s="135">
        <v>0.4445110258868648</v>
      </c>
      <c r="AN34" s="135">
        <v>1.187853107344633</v>
      </c>
      <c r="AO34" s="135">
        <v>7.218181818181818</v>
      </c>
      <c r="AP34" s="135">
        <v>0.3595719381688466</v>
      </c>
      <c r="AQ34" s="132">
        <v>1.9818E10</v>
      </c>
      <c r="AR34" s="135">
        <v>2.238816086760054</v>
      </c>
      <c r="AS34" s="135">
        <v>1.285193094856736</v>
      </c>
      <c r="AT34" s="135">
        <v>1.151094500800854</v>
      </c>
      <c r="AU34" s="135">
        <v>0.4815803523758676</v>
      </c>
      <c r="AV34" s="132">
        <v>9.694185215759277E10</v>
      </c>
      <c r="AW34" s="132">
        <v>1.167598521575928E11</v>
      </c>
      <c r="AX34" s="135">
        <v>21.10330979902666</v>
      </c>
      <c r="AY34" s="135">
        <v>3.553456697246903</v>
      </c>
      <c r="AZ34" s="135">
        <v>11.61815102559837</v>
      </c>
      <c r="BA34" s="135">
        <v>13.1902227923173</v>
      </c>
      <c r="BB34" s="135">
        <v>0.03801289038721319</v>
      </c>
      <c r="BC34" s="135">
        <v>4.564117333219999</v>
      </c>
    </row>
    <row r="35" ht="15.75" customHeight="1">
      <c r="A35" s="130" t="s">
        <v>20</v>
      </c>
      <c r="B35" s="130">
        <v>2023.0</v>
      </c>
      <c r="C35" s="131">
        <v>75.28526306152344</v>
      </c>
      <c r="D35" s="132">
        <v>2.7116E10</v>
      </c>
      <c r="E35" s="132">
        <v>2.0618E10</v>
      </c>
      <c r="F35" s="132">
        <v>5.665E9</v>
      </c>
      <c r="G35" s="130">
        <v>4.5</v>
      </c>
      <c r="H35" s="130">
        <v>3.0</v>
      </c>
      <c r="I35" s="130">
        <v>1.258E9</v>
      </c>
      <c r="J35" s="132">
        <v>7.421E9</v>
      </c>
      <c r="K35" s="132">
        <v>8.006E9</v>
      </c>
      <c r="L35" s="132">
        <v>-5.85E8</v>
      </c>
      <c r="M35" s="133">
        <v>3.809E9</v>
      </c>
      <c r="N35" s="132">
        <v>6.085E9</v>
      </c>
      <c r="O35" s="132">
        <v>1.6085E10</v>
      </c>
      <c r="P35" s="132">
        <v>6.2125E10</v>
      </c>
      <c r="Q35" s="132">
        <v>6.2648E10</v>
      </c>
      <c r="R35" s="132">
        <v>1.128E10</v>
      </c>
      <c r="S35" s="132">
        <v>1.787E9</v>
      </c>
      <c r="T35" s="132">
        <v>2.2833E10</v>
      </c>
      <c r="U35" s="132">
        <v>2.20365E10</v>
      </c>
      <c r="V35" s="132">
        <v>2.4987E10</v>
      </c>
      <c r="W35" s="132">
        <v>4.782E10</v>
      </c>
      <c r="X35" s="132">
        <v>1.0496E10</v>
      </c>
      <c r="Y35" s="132">
        <v>7.803E9</v>
      </c>
      <c r="Z35" s="132">
        <v>9.44E8</v>
      </c>
      <c r="AA35" s="132">
        <v>6.859E9</v>
      </c>
      <c r="AB35" s="132">
        <v>1.247E9</v>
      </c>
      <c r="AC35" s="134">
        <v>0.1818049278320455</v>
      </c>
      <c r="AD35" s="130"/>
      <c r="AE35" s="135">
        <v>0.7603628853813247</v>
      </c>
      <c r="AF35" s="135">
        <v>0.287763681958991</v>
      </c>
      <c r="AG35" s="135">
        <v>0.2089172444313321</v>
      </c>
      <c r="AH35" s="135">
        <v>0.2570734917069408</v>
      </c>
      <c r="AI35" s="135">
        <v>0.09042587153620227</v>
      </c>
      <c r="AJ35" s="136">
        <v>6.384376148126549E9</v>
      </c>
      <c r="AK35" s="135">
        <v>0.1335084932690621</v>
      </c>
      <c r="AL35" s="135">
        <v>0.6723742277140335</v>
      </c>
      <c r="AM35" s="135">
        <v>0.5132731437811616</v>
      </c>
      <c r="AN35" s="135">
        <v>1.094337143607936</v>
      </c>
      <c r="AO35" s="135">
        <v>8.265889830508474</v>
      </c>
      <c r="AP35" s="135">
        <v>0.3204066114379477</v>
      </c>
      <c r="AQ35" s="132">
        <v>1.8902E10</v>
      </c>
      <c r="AR35" s="135">
        <v>1.800876524390244</v>
      </c>
      <c r="AS35" s="135">
        <v>1.425975177304964</v>
      </c>
      <c r="AT35" s="135">
        <v>1.267553191489362</v>
      </c>
      <c r="AU35" s="135">
        <v>0.5394503546099291</v>
      </c>
      <c r="AV35" s="132">
        <v>9.470886093139648E10</v>
      </c>
      <c r="AW35" s="132">
        <v>1.136108609313965E11</v>
      </c>
      <c r="AX35" s="135">
        <v>16.73005845811632</v>
      </c>
      <c r="AY35" s="135">
        <v>3.492729787999575</v>
      </c>
      <c r="AZ35" s="135">
        <v>12.76227744662397</v>
      </c>
      <c r="BA35" s="135">
        <v>10.8242055003236</v>
      </c>
      <c r="BB35" s="135">
        <v>0.03984843617466525</v>
      </c>
      <c r="BC35" s="135">
        <v>4.147893878657928</v>
      </c>
    </row>
    <row r="36" ht="15.75" customHeight="1">
      <c r="A36" s="130" t="s">
        <v>20</v>
      </c>
      <c r="B36" s="130">
        <v>2024.0</v>
      </c>
      <c r="C36" s="131">
        <v>89.3504638671875</v>
      </c>
      <c r="D36" s="132">
        <v>2.8754E10</v>
      </c>
      <c r="E36" s="132">
        <v>2.2503E10</v>
      </c>
      <c r="F36" s="132">
        <v>4.8E8</v>
      </c>
      <c r="G36" s="130">
        <v>0.38</v>
      </c>
      <c r="H36" s="130">
        <v>3.08</v>
      </c>
      <c r="I36" s="130">
        <v>1.255E9</v>
      </c>
      <c r="J36" s="132">
        <v>1.0305E10</v>
      </c>
      <c r="K36" s="132">
        <v>1.0828E10</v>
      </c>
      <c r="L36" s="132">
        <v>-5.23E8</v>
      </c>
      <c r="M36" s="133">
        <v>3.918E9</v>
      </c>
      <c r="N36" s="132">
        <v>9.991E9</v>
      </c>
      <c r="O36" s="132">
        <v>1.9173E10</v>
      </c>
      <c r="P36" s="132">
        <v>5.8995E10</v>
      </c>
      <c r="Q36" s="132">
        <v>6.056E10</v>
      </c>
      <c r="R36" s="132">
        <v>1.2004E10</v>
      </c>
      <c r="S36" s="132">
        <v>1.71E9</v>
      </c>
      <c r="T36" s="132">
        <v>1.933E10</v>
      </c>
      <c r="U36" s="132">
        <v>2.10815E10</v>
      </c>
      <c r="V36" s="132">
        <v>2.6711E10</v>
      </c>
      <c r="W36" s="132">
        <v>4.6041E10</v>
      </c>
      <c r="X36" s="132">
        <v>4.434E9</v>
      </c>
      <c r="Y36" s="132">
        <v>1.667E9</v>
      </c>
      <c r="Z36" s="132">
        <v>9.77E8</v>
      </c>
      <c r="AA36" s="132">
        <v>6.9E8</v>
      </c>
      <c r="AB36" s="132">
        <v>2.11E8</v>
      </c>
      <c r="AC36" s="134">
        <v>0.3057971014492754</v>
      </c>
      <c r="AD36" s="130"/>
      <c r="AE36" s="135">
        <v>0.7826041594212979</v>
      </c>
      <c r="AF36" s="135">
        <v>0.05797454267232385</v>
      </c>
      <c r="AG36" s="135">
        <v>0.01669332962370453</v>
      </c>
      <c r="AH36" s="135">
        <v>0.02276877831273866</v>
      </c>
      <c r="AI36" s="135">
        <v>0.007926023778071334</v>
      </c>
      <c r="AJ36" s="136">
        <v>1.157236231884058E9</v>
      </c>
      <c r="AK36" s="135">
        <v>0.02513490653730497</v>
      </c>
      <c r="AL36" s="135">
        <v>8.1625</v>
      </c>
      <c r="AM36" s="135">
        <v>0.3802037845705968</v>
      </c>
      <c r="AN36" s="135">
        <v>1.381841696844283</v>
      </c>
      <c r="AO36" s="135">
        <v>1.706243602865916</v>
      </c>
      <c r="AP36" s="135">
        <v>0.4053760622964322</v>
      </c>
      <c r="AQ36" s="132">
        <v>1.672E10</v>
      </c>
      <c r="AR36" s="135">
        <v>3.77086152458277</v>
      </c>
      <c r="AS36" s="135">
        <v>1.597217594135288</v>
      </c>
      <c r="AT36" s="135">
        <v>1.454765078307231</v>
      </c>
      <c r="AU36" s="135">
        <v>0.8323058980339887</v>
      </c>
      <c r="AV36" s="132">
        <v>1.121348321533203E11</v>
      </c>
      <c r="AW36" s="132">
        <v>1.288548321533203E11</v>
      </c>
      <c r="AX36" s="135">
        <v>235.1327996504934</v>
      </c>
      <c r="AY36" s="135">
        <v>3.899799407154494</v>
      </c>
      <c r="AZ36" s="135">
        <v>10.88159458062303</v>
      </c>
      <c r="BA36" s="135">
        <v>29.06062971432574</v>
      </c>
      <c r="BB36" s="135">
        <v>0.03447100179108393</v>
      </c>
      <c r="BC36" s="135">
        <v>5.801077710983979</v>
      </c>
    </row>
    <row r="37" ht="15.75" customHeight="1">
      <c r="A37" s="130" t="s">
        <v>20</v>
      </c>
      <c r="B37" s="130">
        <v>2025.0</v>
      </c>
      <c r="C37" s="131">
        <v>122.0468826293945</v>
      </c>
      <c r="D37" s="132">
        <v>2.9442E10</v>
      </c>
      <c r="E37" s="132">
        <v>2.3208E10</v>
      </c>
      <c r="F37" s="132">
        <v>8.51E9</v>
      </c>
      <c r="G37" s="130">
        <v>6.78</v>
      </c>
      <c r="H37" s="130">
        <v>3.16</v>
      </c>
      <c r="I37" s="130">
        <v>1.255E9</v>
      </c>
      <c r="J37" s="132">
        <v>9.456E9</v>
      </c>
      <c r="K37" s="132">
        <v>1.0019E10</v>
      </c>
      <c r="L37" s="132">
        <v>-5.63E8</v>
      </c>
      <c r="M37" s="133">
        <v>4.003E9</v>
      </c>
      <c r="N37" s="132">
        <v>7.564E9</v>
      </c>
      <c r="O37" s="132">
        <v>1.8342E10</v>
      </c>
      <c r="P37" s="132">
        <v>5.9023E10</v>
      </c>
      <c r="Q37" s="132">
        <v>5.9009E10</v>
      </c>
      <c r="R37" s="132">
        <v>1.1813E10</v>
      </c>
      <c r="S37" s="132">
        <v>1.774E9</v>
      </c>
      <c r="T37" s="132">
        <v>2.2702E10</v>
      </c>
      <c r="U37" s="132">
        <v>2.1016E10</v>
      </c>
      <c r="V37" s="132">
        <v>2.4936E10</v>
      </c>
      <c r="W37" s="132">
        <v>4.7638E10</v>
      </c>
      <c r="X37" s="132">
        <v>1.358E10</v>
      </c>
      <c r="Y37" s="132">
        <v>1.082E10</v>
      </c>
      <c r="Z37" s="132">
        <v>1.024E9</v>
      </c>
      <c r="AA37" s="132">
        <v>9.796E9</v>
      </c>
      <c r="AB37" s="132">
        <v>1.286E9</v>
      </c>
      <c r="AC37" s="134">
        <v>0.1312780726827276</v>
      </c>
      <c r="AD37" s="130"/>
      <c r="AE37" s="135">
        <v>0.7882616670063175</v>
      </c>
      <c r="AF37" s="135">
        <v>0.3675022077304531</v>
      </c>
      <c r="AG37" s="135">
        <v>0.2890428639358739</v>
      </c>
      <c r="AH37" s="135">
        <v>0.4049295774647887</v>
      </c>
      <c r="AI37" s="135">
        <v>0.1442152891931739</v>
      </c>
      <c r="AJ37" s="136">
        <v>9.399571253572887E9</v>
      </c>
      <c r="AK37" s="135">
        <v>0.1973124659635771</v>
      </c>
      <c r="AL37" s="135">
        <v>0.4703877790834313</v>
      </c>
      <c r="AM37" s="135">
        <v>0.42332910321489</v>
      </c>
      <c r="AN37" s="135">
        <v>1.09840542683464</v>
      </c>
      <c r="AO37" s="135">
        <v>10.56640625</v>
      </c>
      <c r="AP37" s="135">
        <v>0.4017885787616298</v>
      </c>
      <c r="AQ37" s="132">
        <v>1.7372E10</v>
      </c>
      <c r="AR37" s="135">
        <v>1.279234167893962</v>
      </c>
      <c r="AS37" s="135">
        <v>1.552696182172183</v>
      </c>
      <c r="AT37" s="135">
        <v>1.402522644544146</v>
      </c>
      <c r="AU37" s="135">
        <v>0.6403115212054517</v>
      </c>
      <c r="AV37" s="132">
        <v>1.531688376998901E11</v>
      </c>
      <c r="AW37" s="132">
        <v>1.705408376998901E11</v>
      </c>
      <c r="AX37" s="135">
        <v>18.00101513707884</v>
      </c>
      <c r="AY37" s="135">
        <v>5.202392422386052</v>
      </c>
      <c r="AZ37" s="135">
        <v>16.19805813239109</v>
      </c>
      <c r="BA37" s="135">
        <v>12.55823547127321</v>
      </c>
      <c r="BB37" s="135">
        <v>0.02589168958616995</v>
      </c>
      <c r="BC37" s="135">
        <v>6.746931446563745</v>
      </c>
    </row>
    <row r="38" ht="15.75" customHeight="1">
      <c r="A38" s="130" t="s">
        <v>9</v>
      </c>
      <c r="B38" s="130">
        <v>2022.0</v>
      </c>
      <c r="C38" s="131">
        <v>87.50675964355469</v>
      </c>
      <c r="D38" s="132">
        <v>2.82836E11</v>
      </c>
      <c r="E38" s="132">
        <v>1.56633E11</v>
      </c>
      <c r="F38" s="132">
        <v>5.9972E10</v>
      </c>
      <c r="G38" s="130">
        <v>4.56</v>
      </c>
      <c r="H38" s="130">
        <v>0.0</v>
      </c>
      <c r="I38" s="130">
        <v>1.3159E10</v>
      </c>
      <c r="J38" s="132">
        <v>6.001E10</v>
      </c>
      <c r="K38" s="132">
        <v>9.1495E10</v>
      </c>
      <c r="L38" s="132">
        <v>-3.1485E10</v>
      </c>
      <c r="M38" s="133">
        <v>0.0</v>
      </c>
      <c r="N38" s="132">
        <v>2.1879E10</v>
      </c>
      <c r="O38" s="132">
        <v>1.64795E11</v>
      </c>
      <c r="P38" s="132">
        <v>3.65264E11</v>
      </c>
      <c r="Q38" s="132">
        <v>3.65264E11</v>
      </c>
      <c r="R38" s="132">
        <v>6.93E10</v>
      </c>
      <c r="S38" s="132">
        <v>2.67E9</v>
      </c>
      <c r="T38" s="132">
        <v>2.56144E11</v>
      </c>
      <c r="U38" s="132">
        <v>2.56144E11</v>
      </c>
      <c r="V38" s="132">
        <v>2.9679E10</v>
      </c>
      <c r="W38" s="132">
        <v>2.69001E11</v>
      </c>
      <c r="X38" s="132">
        <v>8.516E10</v>
      </c>
      <c r="Y38" s="132">
        <v>7.1685E10</v>
      </c>
      <c r="Z38" s="132">
        <v>3.57E8</v>
      </c>
      <c r="AA38" s="132">
        <v>7.1328E10</v>
      </c>
      <c r="AB38" s="132">
        <v>1.1356E10</v>
      </c>
      <c r="AC38" s="134">
        <v>0.1592081650964558</v>
      </c>
      <c r="AD38" s="130"/>
      <c r="AE38" s="135">
        <v>0.5537944250378312</v>
      </c>
      <c r="AF38" s="135">
        <v>0.2534507629863242</v>
      </c>
      <c r="AG38" s="135">
        <v>0.2120380715326196</v>
      </c>
      <c r="AH38" s="135">
        <v>0.2341339246673746</v>
      </c>
      <c r="AI38" s="135">
        <v>0.1641880940908494</v>
      </c>
      <c r="AJ38" s="136">
        <v>6.027216268506056E10</v>
      </c>
      <c r="AK38" s="135">
        <v>0.2240592513970601</v>
      </c>
      <c r="AL38" s="135">
        <v>0.0</v>
      </c>
      <c r="AM38" s="135">
        <v>0.0</v>
      </c>
      <c r="AN38" s="135">
        <v>0.1158684177650072</v>
      </c>
      <c r="AO38" s="135">
        <v>200.7983193277311</v>
      </c>
      <c r="AP38" s="135">
        <v>3.082819502004785</v>
      </c>
      <c r="AQ38" s="132">
        <v>7.8E9</v>
      </c>
      <c r="AR38" s="135">
        <v>0.09159229685298262</v>
      </c>
      <c r="AS38" s="135">
        <v>2.377994227994228</v>
      </c>
      <c r="AT38" s="135">
        <v>2.339466089466089</v>
      </c>
      <c r="AU38" s="135">
        <v>0.3157142857142857</v>
      </c>
      <c r="AV38" s="132">
        <v>1.151501450149536E12</v>
      </c>
      <c r="AW38" s="132">
        <v>1.159301450149536E12</v>
      </c>
      <c r="AX38" s="135">
        <v>19.19007886920059</v>
      </c>
      <c r="AY38" s="135">
        <v>4.07126903983063</v>
      </c>
      <c r="AZ38" s="135">
        <v>19.18849275369999</v>
      </c>
      <c r="BA38" s="135">
        <v>13.61321571335763</v>
      </c>
      <c r="BB38" s="135">
        <v>0.0</v>
      </c>
      <c r="BC38" s="135">
        <v>4.495523807504904</v>
      </c>
    </row>
    <row r="39" ht="15.75" customHeight="1">
      <c r="A39" s="130" t="s">
        <v>9</v>
      </c>
      <c r="B39" s="130">
        <v>2023.0</v>
      </c>
      <c r="C39" s="131">
        <v>138.5449371337891</v>
      </c>
      <c r="D39" s="132">
        <v>3.07394E11</v>
      </c>
      <c r="E39" s="132">
        <v>1.74062E11</v>
      </c>
      <c r="F39" s="132">
        <v>7.3795E10</v>
      </c>
      <c r="G39" s="130">
        <v>5.8</v>
      </c>
      <c r="H39" s="130">
        <v>0.0</v>
      </c>
      <c r="I39" s="130">
        <v>1.2722E10</v>
      </c>
      <c r="J39" s="132">
        <v>6.9495E10</v>
      </c>
      <c r="K39" s="132">
        <v>1.01746E11</v>
      </c>
      <c r="L39" s="132">
        <v>-3.2251E10</v>
      </c>
      <c r="M39" s="133">
        <v>0.0</v>
      </c>
      <c r="N39" s="132">
        <v>2.4048E10</v>
      </c>
      <c r="O39" s="132">
        <v>1.7153E11</v>
      </c>
      <c r="P39" s="132">
        <v>4.02392E11</v>
      </c>
      <c r="Q39" s="132">
        <v>3.83828E11</v>
      </c>
      <c r="R39" s="132">
        <v>8.1814E10</v>
      </c>
      <c r="S39" s="132">
        <v>2.67E9</v>
      </c>
      <c r="T39" s="132">
        <v>2.83379E11</v>
      </c>
      <c r="U39" s="132">
        <v>2.697615E11</v>
      </c>
      <c r="V39" s="132">
        <v>2.7121E10</v>
      </c>
      <c r="W39" s="132">
        <v>2.95249E11</v>
      </c>
      <c r="X39" s="132">
        <v>9.7971E10</v>
      </c>
      <c r="Y39" s="132">
        <v>8.6025E10</v>
      </c>
      <c r="Z39" s="132">
        <v>3.08E8</v>
      </c>
      <c r="AA39" s="132">
        <v>8.5717E10</v>
      </c>
      <c r="AB39" s="132">
        <v>1.1922E10</v>
      </c>
      <c r="AC39" s="134">
        <v>0.1390855956228053</v>
      </c>
      <c r="AD39" s="130"/>
      <c r="AE39" s="135">
        <v>0.566250479840205</v>
      </c>
      <c r="AF39" s="135">
        <v>0.2798525670637683</v>
      </c>
      <c r="AG39" s="135">
        <v>0.2400664944663852</v>
      </c>
      <c r="AH39" s="135">
        <v>0.2735564563512584</v>
      </c>
      <c r="AI39" s="135">
        <v>0.1922605958919099</v>
      </c>
      <c r="AJ39" s="136">
        <v>7.406016163654817E10</v>
      </c>
      <c r="AK39" s="135">
        <v>0.250839669690831</v>
      </c>
      <c r="AL39" s="135">
        <v>0.0</v>
      </c>
      <c r="AM39" s="135">
        <v>0.0</v>
      </c>
      <c r="AN39" s="135">
        <v>0.09570575095543424</v>
      </c>
      <c r="AO39" s="135">
        <v>279.301948051948</v>
      </c>
      <c r="AP39" s="135">
        <v>3.751557833413222</v>
      </c>
      <c r="AQ39" s="132">
        <v>3.073E9</v>
      </c>
      <c r="AR39" s="135">
        <v>0.03136642475834685</v>
      </c>
      <c r="AS39" s="135">
        <v>2.096584936563424</v>
      </c>
      <c r="AT39" s="135">
        <v>2.063949935218911</v>
      </c>
      <c r="AU39" s="135">
        <v>0.2939350233456376</v>
      </c>
      <c r="AV39" s="132">
        <v>1.762568690216064E12</v>
      </c>
      <c r="AW39" s="132">
        <v>1.765641690216064E12</v>
      </c>
      <c r="AX39" s="135">
        <v>23.88705812651536</v>
      </c>
      <c r="AY39" s="135">
        <v>5.733907266296884</v>
      </c>
      <c r="AZ39" s="135">
        <v>25.36252522075062</v>
      </c>
      <c r="BA39" s="135">
        <v>18.02208500695169</v>
      </c>
      <c r="BB39" s="135">
        <v>0.0</v>
      </c>
      <c r="BC39" s="135">
        <v>6.219828181396873</v>
      </c>
    </row>
    <row r="40" ht="15.75" customHeight="1">
      <c r="A40" s="130" t="s">
        <v>9</v>
      </c>
      <c r="B40" s="130">
        <v>2024.0</v>
      </c>
      <c r="C40" s="131">
        <v>188.4288635253906</v>
      </c>
      <c r="D40" s="132">
        <v>3.50018E11</v>
      </c>
      <c r="E40" s="132">
        <v>2.03712E11</v>
      </c>
      <c r="F40" s="132">
        <v>1.00118E11</v>
      </c>
      <c r="G40" s="130">
        <v>8.04</v>
      </c>
      <c r="H40" s="130">
        <v>0.6000000000000001</v>
      </c>
      <c r="I40" s="130">
        <v>1.2447E10</v>
      </c>
      <c r="J40" s="132">
        <v>7.2764E10</v>
      </c>
      <c r="K40" s="132">
        <v>1.25299E11</v>
      </c>
      <c r="L40" s="132">
        <v>-5.2535E10</v>
      </c>
      <c r="M40" s="133">
        <v>7.363E9</v>
      </c>
      <c r="N40" s="132">
        <v>2.3466E10</v>
      </c>
      <c r="O40" s="132">
        <v>1.63711E11</v>
      </c>
      <c r="P40" s="132">
        <v>4.50256E11</v>
      </c>
      <c r="Q40" s="132">
        <v>4.26324E11</v>
      </c>
      <c r="R40" s="132">
        <v>8.9122E10</v>
      </c>
      <c r="S40" s="132">
        <v>2.67E9</v>
      </c>
      <c r="T40" s="132">
        <v>3.25084E11</v>
      </c>
      <c r="U40" s="132">
        <v>3.042315E11</v>
      </c>
      <c r="V40" s="132">
        <v>2.2574E10</v>
      </c>
      <c r="W40" s="132">
        <v>3.35967E11</v>
      </c>
      <c r="X40" s="132">
        <v>1.35394E11</v>
      </c>
      <c r="Y40" s="132">
        <v>1.20083E11</v>
      </c>
      <c r="Z40" s="132">
        <v>2.68E8</v>
      </c>
      <c r="AA40" s="132">
        <v>1.19815E11</v>
      </c>
      <c r="AB40" s="132">
        <v>1.9697E10</v>
      </c>
      <c r="AC40" s="134">
        <v>0.1643951091265701</v>
      </c>
      <c r="AD40" s="130"/>
      <c r="AE40" s="135">
        <v>0.5820043540617911</v>
      </c>
      <c r="AF40" s="135">
        <v>0.3430766417727089</v>
      </c>
      <c r="AG40" s="135">
        <v>0.28603671811164</v>
      </c>
      <c r="AH40" s="135">
        <v>0.3290849238162386</v>
      </c>
      <c r="AI40" s="135">
        <v>0.2348401685103349</v>
      </c>
      <c r="AJ40" s="136">
        <v>1.003419421107541E11</v>
      </c>
      <c r="AK40" s="135">
        <v>0.2986660657467968</v>
      </c>
      <c r="AL40" s="135">
        <v>0.07354321900157813</v>
      </c>
      <c r="AM40" s="135">
        <v>0.1011901489747677</v>
      </c>
      <c r="AN40" s="135">
        <v>0.06944051383642381</v>
      </c>
      <c r="AO40" s="135">
        <v>448.0708955223881</v>
      </c>
      <c r="AP40" s="135">
        <v>5.55058917338531</v>
      </c>
      <c r="AQ40" s="132">
        <v>-8.92E8</v>
      </c>
      <c r="AR40" s="135">
        <v>-0.006588179682999247</v>
      </c>
      <c r="AS40" s="135">
        <v>1.836931397410291</v>
      </c>
      <c r="AT40" s="135">
        <v>1.806972464711295</v>
      </c>
      <c r="AU40" s="135">
        <v>0.2633019905298355</v>
      </c>
      <c r="AV40" s="132">
        <v>2.345374064300537E12</v>
      </c>
      <c r="AW40" s="132">
        <v>2.344482064300537E12</v>
      </c>
      <c r="AX40" s="135">
        <v>23.43642581161575</v>
      </c>
      <c r="AY40" s="135">
        <v>6.700724146474002</v>
      </c>
      <c r="AZ40" s="135">
        <v>32.23261591309628</v>
      </c>
      <c r="BA40" s="135">
        <v>17.31599675244499</v>
      </c>
      <c r="BB40" s="135">
        <v>0.003184225541535204</v>
      </c>
      <c r="BC40" s="135">
        <v>7.214670867531275</v>
      </c>
    </row>
    <row r="41" ht="15.75" customHeight="1">
      <c r="A41" s="130" t="s">
        <v>9</v>
      </c>
      <c r="B41" s="130">
        <v>2025.0</v>
      </c>
      <c r="C41" s="131">
        <v>312.7798156738281</v>
      </c>
      <c r="D41" s="132">
        <v>4.02836E11</v>
      </c>
      <c r="E41" s="132">
        <v>2.40301E11</v>
      </c>
      <c r="F41" s="132">
        <v>1.3217E11</v>
      </c>
      <c r="G41" s="130">
        <v>10.81</v>
      </c>
      <c r="H41" s="130">
        <v>0.83</v>
      </c>
      <c r="I41" s="130">
        <v>1.223E10</v>
      </c>
      <c r="J41" s="132">
        <v>7.3266E10</v>
      </c>
      <c r="K41" s="132">
        <v>1.64713E11</v>
      </c>
      <c r="L41" s="132">
        <v>-9.1447E10</v>
      </c>
      <c r="M41" s="133">
        <v>1.0049E10</v>
      </c>
      <c r="N41" s="132">
        <v>3.0708E10</v>
      </c>
      <c r="O41" s="132">
        <v>2.06038E11</v>
      </c>
      <c r="P41" s="132">
        <v>5.95281E11</v>
      </c>
      <c r="Q41" s="132">
        <v>5.227685E11</v>
      </c>
      <c r="R41" s="132">
        <v>1.02745E11</v>
      </c>
      <c r="S41" s="132">
        <v>2.67E9</v>
      </c>
      <c r="T41" s="132">
        <v>4.15265E11</v>
      </c>
      <c r="U41" s="132">
        <v>3.701745E11</v>
      </c>
      <c r="V41" s="132">
        <v>5.9291E10</v>
      </c>
      <c r="W41" s="132">
        <v>4.61812E11</v>
      </c>
      <c r="X41" s="132">
        <v>1.80698E11</v>
      </c>
      <c r="Y41" s="132">
        <v>1.59562E11</v>
      </c>
      <c r="Z41" s="132">
        <v>7.36E8</v>
      </c>
      <c r="AA41" s="132">
        <v>1.58826E11</v>
      </c>
      <c r="AB41" s="132">
        <v>2.6656E10</v>
      </c>
      <c r="AC41" s="134">
        <v>0.1678314633624218</v>
      </c>
      <c r="AD41" s="130"/>
      <c r="AE41" s="135">
        <v>0.5965231508603998</v>
      </c>
      <c r="AF41" s="135">
        <v>0.3960966745772473</v>
      </c>
      <c r="AG41" s="135">
        <v>0.3280987796522654</v>
      </c>
      <c r="AH41" s="135">
        <v>0.3570478247421149</v>
      </c>
      <c r="AI41" s="135">
        <v>0.252827016164899</v>
      </c>
      <c r="AJ41" s="136">
        <v>1.327824760429653E11</v>
      </c>
      <c r="AK41" s="135">
        <v>0.2875249583011382</v>
      </c>
      <c r="AL41" s="135">
        <v>0.07603086933494742</v>
      </c>
      <c r="AM41" s="135">
        <v>0.1371577539377064</v>
      </c>
      <c r="AN41" s="135">
        <v>0.1427787075722731</v>
      </c>
      <c r="AO41" s="135">
        <v>216.7961956521739</v>
      </c>
      <c r="AP41" s="135">
        <v>2.778043885243966</v>
      </c>
      <c r="AQ41" s="132">
        <v>2.8583E10</v>
      </c>
      <c r="AR41" s="135">
        <v>0.1581810534704313</v>
      </c>
      <c r="AS41" s="135">
        <v>2.005333592875566</v>
      </c>
      <c r="AT41" s="135">
        <v>1.979346926857755</v>
      </c>
      <c r="AU41" s="135">
        <v>0.2988758577059711</v>
      </c>
      <c r="AV41" s="132">
        <v>3.825297145690918E12</v>
      </c>
      <c r="AW41" s="132">
        <v>3.853880145690918E12</v>
      </c>
      <c r="AX41" s="135">
        <v>28.93430302255579</v>
      </c>
      <c r="AY41" s="135">
        <v>9.495916814015922</v>
      </c>
      <c r="AZ41" s="135">
        <v>52.21108216213411</v>
      </c>
      <c r="BA41" s="135">
        <v>21.32774101368537</v>
      </c>
      <c r="BB41" s="135">
        <v>0.002653623918192782</v>
      </c>
      <c r="BC41" s="135">
        <v>9.211701312874714</v>
      </c>
    </row>
    <row r="42" ht="15.75" customHeight="1">
      <c r="A42" s="130" t="s">
        <v>26</v>
      </c>
      <c r="B42" s="130">
        <v>2022.0</v>
      </c>
      <c r="C42" s="131">
        <v>32.34098052978516</v>
      </c>
      <c r="D42" s="132">
        <v>1.4057E10</v>
      </c>
      <c r="E42" s="132">
        <v>7.323E9</v>
      </c>
      <c r="F42" s="132">
        <v>1.436E9</v>
      </c>
      <c r="G42" s="130">
        <v>1.01</v>
      </c>
      <c r="H42" s="130">
        <v>0.764</v>
      </c>
      <c r="I42" s="130">
        <v>1.4285E9</v>
      </c>
      <c r="J42" s="132">
        <v>2.458E9</v>
      </c>
      <c r="K42" s="132">
        <v>2.837E9</v>
      </c>
      <c r="L42" s="132">
        <v>-3.79E8</v>
      </c>
      <c r="M42" s="133">
        <v>1.08E9</v>
      </c>
      <c r="N42" s="132">
        <v>5.35E8</v>
      </c>
      <c r="O42" s="132">
        <v>3.804E9</v>
      </c>
      <c r="P42" s="132">
        <v>5.1837E10</v>
      </c>
      <c r="Q42" s="132">
        <v>5.1837E10</v>
      </c>
      <c r="R42" s="132">
        <v>8.076E9</v>
      </c>
      <c r="S42" s="132">
        <v>1.314E9</v>
      </c>
      <c r="T42" s="132">
        <v>2.5126E10</v>
      </c>
      <c r="U42" s="132">
        <v>2.5126E10</v>
      </c>
      <c r="V42" s="132">
        <v>1.3583E10</v>
      </c>
      <c r="W42" s="132">
        <v>3.7093E10</v>
      </c>
      <c r="X42" s="132">
        <v>3.121E9</v>
      </c>
      <c r="Y42" s="132">
        <v>2.412E9</v>
      </c>
      <c r="Z42" s="132">
        <v>6.93E8</v>
      </c>
      <c r="AA42" s="132">
        <v>1.719E9</v>
      </c>
      <c r="AB42" s="132">
        <v>2.84E8</v>
      </c>
      <c r="AC42" s="134">
        <v>0.1652123327515998</v>
      </c>
      <c r="AD42" s="130"/>
      <c r="AE42" s="135">
        <v>0.5209504161627658</v>
      </c>
      <c r="AF42" s="135">
        <v>0.1715871096250978</v>
      </c>
      <c r="AG42" s="135">
        <v>0.1021555097104645</v>
      </c>
      <c r="AH42" s="135">
        <v>0.05715195415107856</v>
      </c>
      <c r="AI42" s="135">
        <v>0.0277022204217065</v>
      </c>
      <c r="AJ42" s="136">
        <v>2.013507853403141E9</v>
      </c>
      <c r="AK42" s="135">
        <v>0.05428269089594105</v>
      </c>
      <c r="AL42" s="135">
        <v>0.7520891364902507</v>
      </c>
      <c r="AM42" s="135">
        <v>0.4393816110659072</v>
      </c>
      <c r="AN42" s="135">
        <v>0.540595399188092</v>
      </c>
      <c r="AO42" s="135">
        <v>3.48051948051948</v>
      </c>
      <c r="AP42" s="135">
        <v>0.2088640212029743</v>
      </c>
      <c r="AQ42" s="132">
        <v>1.3048E10</v>
      </c>
      <c r="AR42" s="135">
        <v>4.180711310477411</v>
      </c>
      <c r="AS42" s="135">
        <v>0.4710252600297177</v>
      </c>
      <c r="AT42" s="135">
        <v>0.3083209509658247</v>
      </c>
      <c r="AU42" s="135">
        <v>0.06624566617137197</v>
      </c>
      <c r="AV42" s="132">
        <v>4.61990906867981E10</v>
      </c>
      <c r="AW42" s="132">
        <v>5.92470906867981E10</v>
      </c>
      <c r="AX42" s="135">
        <v>32.02077280176748</v>
      </c>
      <c r="AY42" s="135">
        <v>3.286554078878715</v>
      </c>
      <c r="AZ42" s="135">
        <v>18.79539897754194</v>
      </c>
      <c r="BA42" s="135">
        <v>18.98336773047039</v>
      </c>
      <c r="BB42" s="135">
        <v>0.02362327880864271</v>
      </c>
      <c r="BC42" s="135">
        <v>1.838696596624934</v>
      </c>
    </row>
    <row r="43" ht="15.75" customHeight="1">
      <c r="A43" s="130" t="s">
        <v>26</v>
      </c>
      <c r="B43" s="130">
        <v>2023.0</v>
      </c>
      <c r="C43" s="131">
        <v>30.97090911865234</v>
      </c>
      <c r="D43" s="132">
        <v>1.4814E10</v>
      </c>
      <c r="E43" s="132">
        <v>8.08E9</v>
      </c>
      <c r="F43" s="132">
        <v>2.181E9</v>
      </c>
      <c r="G43" s="130">
        <v>1.55</v>
      </c>
      <c r="H43" s="130">
        <v>0.8150000000000001</v>
      </c>
      <c r="I43" s="130">
        <v>1.4084E9</v>
      </c>
      <c r="J43" s="132">
        <v>8.48E8</v>
      </c>
      <c r="K43" s="132">
        <v>1.329E9</v>
      </c>
      <c r="L43" s="132">
        <v>-4.81E8</v>
      </c>
      <c r="M43" s="133">
        <v>1.142E9</v>
      </c>
      <c r="N43" s="132">
        <v>2.67E8</v>
      </c>
      <c r="O43" s="132">
        <v>3.375E9</v>
      </c>
      <c r="P43" s="132">
        <v>5.213E10</v>
      </c>
      <c r="Q43" s="132">
        <v>5.19835E10</v>
      </c>
      <c r="R43" s="132">
        <v>8.916E9</v>
      </c>
      <c r="S43" s="132">
        <v>1.142E9</v>
      </c>
      <c r="T43" s="132">
        <v>2.5676E10</v>
      </c>
      <c r="U43" s="132">
        <v>2.5401E10</v>
      </c>
      <c r="V43" s="132">
        <v>1.4824E10</v>
      </c>
      <c r="W43" s="132">
        <v>3.8867E10</v>
      </c>
      <c r="X43" s="132">
        <v>3.973E9</v>
      </c>
      <c r="Y43" s="132">
        <v>3.253E9</v>
      </c>
      <c r="Z43" s="132">
        <v>4.96E8</v>
      </c>
      <c r="AA43" s="132">
        <v>2.757E9</v>
      </c>
      <c r="AB43" s="132">
        <v>5.76E8</v>
      </c>
      <c r="AC43" s="134">
        <v>0.2089227421109902</v>
      </c>
      <c r="AD43" s="130"/>
      <c r="AE43" s="135">
        <v>0.5454299986499257</v>
      </c>
      <c r="AF43" s="135">
        <v>0.2195895774267585</v>
      </c>
      <c r="AG43" s="135">
        <v>0.1472255974078574</v>
      </c>
      <c r="AH43" s="135">
        <v>0.0858627613086099</v>
      </c>
      <c r="AI43" s="135">
        <v>0.04195562053343849</v>
      </c>
      <c r="AJ43" s="136">
        <v>2.573374319912949E9</v>
      </c>
      <c r="AK43" s="135">
        <v>0.06620974914227876</v>
      </c>
      <c r="AL43" s="135">
        <v>0.5236130215497479</v>
      </c>
      <c r="AM43" s="135">
        <v>1.346698113207547</v>
      </c>
      <c r="AN43" s="135">
        <v>0.5773484966505686</v>
      </c>
      <c r="AO43" s="135">
        <v>6.558467741935484</v>
      </c>
      <c r="AP43" s="135">
        <v>0.08965191581219643</v>
      </c>
      <c r="AQ43" s="132">
        <v>1.4557E10</v>
      </c>
      <c r="AR43" s="135">
        <v>3.663981877674301</v>
      </c>
      <c r="AS43" s="135">
        <v>0.3785329744279946</v>
      </c>
      <c r="AT43" s="135">
        <v>0.2504486316733961</v>
      </c>
      <c r="AU43" s="135">
        <v>0.02994616419919246</v>
      </c>
      <c r="AV43" s="132">
        <v>4.361942840270996E10</v>
      </c>
      <c r="AW43" s="132">
        <v>5.817642840270996E10</v>
      </c>
      <c r="AX43" s="135">
        <v>19.98123168945312</v>
      </c>
      <c r="AY43" s="135">
        <v>2.944473363217899</v>
      </c>
      <c r="AZ43" s="135">
        <v>51.43800519187496</v>
      </c>
      <c r="BA43" s="135">
        <v>14.64294699287943</v>
      </c>
      <c r="BB43" s="135">
        <v>0.02631501700120141</v>
      </c>
      <c r="BC43" s="135">
        <v>1.698840489278313</v>
      </c>
    </row>
    <row r="44" ht="15.75" customHeight="1">
      <c r="A44" s="130" t="s">
        <v>26</v>
      </c>
      <c r="B44" s="130">
        <v>2024.0</v>
      </c>
      <c r="C44" s="131">
        <v>30.64525413513184</v>
      </c>
      <c r="D44" s="132">
        <v>1.5351E10</v>
      </c>
      <c r="E44" s="132">
        <v>8.529E9</v>
      </c>
      <c r="F44" s="132">
        <v>1.441E9</v>
      </c>
      <c r="G44" s="130">
        <v>1.05</v>
      </c>
      <c r="H44" s="130">
        <v>0.875</v>
      </c>
      <c r="I44" s="130">
        <v>1.3683E9</v>
      </c>
      <c r="J44" s="132">
        <v>1.597E9</v>
      </c>
      <c r="K44" s="132">
        <v>2.219E9</v>
      </c>
      <c r="L44" s="132">
        <v>-6.22E8</v>
      </c>
      <c r="M44" s="133">
        <v>1.142E9</v>
      </c>
      <c r="N44" s="132">
        <v>5.1E8</v>
      </c>
      <c r="O44" s="132">
        <v>3.997E9</v>
      </c>
      <c r="P44" s="132">
        <v>5.343E10</v>
      </c>
      <c r="Q44" s="132">
        <v>5.278E10</v>
      </c>
      <c r="R44" s="132">
        <v>8.087E9</v>
      </c>
      <c r="S44" s="132">
        <v>1.299E9</v>
      </c>
      <c r="T44" s="132">
        <v>2.4243E10</v>
      </c>
      <c r="U44" s="132">
        <v>2.49595E10</v>
      </c>
      <c r="V44" s="132">
        <v>1.5554E10</v>
      </c>
      <c r="W44" s="132">
        <v>3.9797E10</v>
      </c>
      <c r="X44" s="132">
        <v>3.382E9</v>
      </c>
      <c r="Y44" s="132">
        <v>2.649E9</v>
      </c>
      <c r="Z44" s="132">
        <v>7.35E8</v>
      </c>
      <c r="AA44" s="132">
        <v>1.914E9</v>
      </c>
      <c r="AB44" s="132">
        <v>4.73E8</v>
      </c>
      <c r="AC44" s="134">
        <v>0.2471264367816092</v>
      </c>
      <c r="AD44" s="130"/>
      <c r="AE44" s="135">
        <v>0.5555989837795583</v>
      </c>
      <c r="AF44" s="135">
        <v>0.172562048075044</v>
      </c>
      <c r="AG44" s="135">
        <v>0.09387010618200768</v>
      </c>
      <c r="AH44" s="135">
        <v>0.05773352831587171</v>
      </c>
      <c r="AI44" s="135">
        <v>0.02730200833649109</v>
      </c>
      <c r="AJ44" s="136">
        <v>1.994362068965517E9</v>
      </c>
      <c r="AK44" s="135">
        <v>0.05011337711298634</v>
      </c>
      <c r="AL44" s="135">
        <v>0.7925052047189451</v>
      </c>
      <c r="AM44" s="135">
        <v>0.715090795241077</v>
      </c>
      <c r="AN44" s="135">
        <v>0.6415872623025203</v>
      </c>
      <c r="AO44" s="135">
        <v>3.604081632653061</v>
      </c>
      <c r="AP44" s="135">
        <v>0.1426642664266427</v>
      </c>
      <c r="AQ44" s="132">
        <v>1.5044E10</v>
      </c>
      <c r="AR44" s="135">
        <v>4.448255470136014</v>
      </c>
      <c r="AS44" s="135">
        <v>0.4942500309138123</v>
      </c>
      <c r="AT44" s="135">
        <v>0.3336218622480524</v>
      </c>
      <c r="AU44" s="135">
        <v>0.0630641770743168</v>
      </c>
      <c r="AV44" s="132">
        <v>4.193190123310089E10</v>
      </c>
      <c r="AW44" s="132">
        <v>5.697590123310089E10</v>
      </c>
      <c r="AX44" s="135">
        <v>29.18595631917318</v>
      </c>
      <c r="AY44" s="135">
        <v>2.731541999420291</v>
      </c>
      <c r="AZ44" s="135">
        <v>26.2566695260494</v>
      </c>
      <c r="BA44" s="135">
        <v>16.84680698790683</v>
      </c>
      <c r="BB44" s="135">
        <v>0.02855254507408038</v>
      </c>
      <c r="BC44" s="135">
        <v>1.729649846681553</v>
      </c>
    </row>
    <row r="45" ht="15.75" customHeight="1">
      <c r="A45" s="130" t="s">
        <v>26</v>
      </c>
      <c r="B45" s="130">
        <v>2025.0</v>
      </c>
      <c r="C45" s="131">
        <v>27.53677940368652</v>
      </c>
      <c r="D45" s="132">
        <v>1.6603E10</v>
      </c>
      <c r="E45" s="132">
        <v>8.999E9</v>
      </c>
      <c r="F45" s="132">
        <v>2.079E9</v>
      </c>
      <c r="G45" s="130">
        <v>1.53</v>
      </c>
      <c r="H45" s="130">
        <v>0.92</v>
      </c>
      <c r="I45" s="130">
        <v>1.3628E9</v>
      </c>
      <c r="J45" s="132">
        <v>1.488E9</v>
      </c>
      <c r="K45" s="132">
        <v>1.991E9</v>
      </c>
      <c r="L45" s="132">
        <v>-5.03E8</v>
      </c>
      <c r="M45" s="133">
        <v>1.142E9</v>
      </c>
      <c r="N45" s="132">
        <v>1.026E9</v>
      </c>
      <c r="O45" s="132">
        <v>5.266E9</v>
      </c>
      <c r="P45" s="132">
        <v>5.5459E10</v>
      </c>
      <c r="Q45" s="132">
        <v>5.44445E10</v>
      </c>
      <c r="R45" s="132">
        <v>8.29E9</v>
      </c>
      <c r="S45" s="132">
        <v>1.733E9</v>
      </c>
      <c r="T45" s="132">
        <v>2.5516E10</v>
      </c>
      <c r="U45" s="132">
        <v>2.48795E10</v>
      </c>
      <c r="V45" s="132">
        <v>1.6141E10</v>
      </c>
      <c r="W45" s="132">
        <v>4.1657E10</v>
      </c>
      <c r="X45" s="132">
        <v>4.194E9</v>
      </c>
      <c r="Y45" s="132">
        <v>3.441E9</v>
      </c>
      <c r="Z45" s="132">
        <v>7.54E8</v>
      </c>
      <c r="AA45" s="132">
        <v>2.687E9</v>
      </c>
      <c r="AB45" s="132">
        <v>6.08E8</v>
      </c>
      <c r="AC45" s="134">
        <v>0.226274655749907</v>
      </c>
      <c r="AD45" s="130"/>
      <c r="AE45" s="135">
        <v>0.5420104800337289</v>
      </c>
      <c r="AF45" s="135">
        <v>0.207251701499729</v>
      </c>
      <c r="AG45" s="135">
        <v>0.1252183340360176</v>
      </c>
      <c r="AH45" s="135">
        <v>0.08356277256375731</v>
      </c>
      <c r="AI45" s="135">
        <v>0.03818567532073947</v>
      </c>
      <c r="AJ45" s="136">
        <v>2.66238890956457E9</v>
      </c>
      <c r="AK45" s="135">
        <v>0.06391216145100632</v>
      </c>
      <c r="AL45" s="135">
        <v>0.5493025493025493</v>
      </c>
      <c r="AM45" s="135">
        <v>0.7674731182795699</v>
      </c>
      <c r="AN45" s="135">
        <v>0.6325834770340178</v>
      </c>
      <c r="AO45" s="135">
        <v>4.563660477453581</v>
      </c>
      <c r="AP45" s="135">
        <v>0.1233504739483303</v>
      </c>
      <c r="AQ45" s="132">
        <v>1.5115E10</v>
      </c>
      <c r="AR45" s="135">
        <v>3.603958035288507</v>
      </c>
      <c r="AS45" s="135">
        <v>0.6352231604342582</v>
      </c>
      <c r="AT45" s="135">
        <v>0.4261761158021713</v>
      </c>
      <c r="AU45" s="135">
        <v>0.1237635705669481</v>
      </c>
      <c r="AV45" s="132">
        <v>3.752712297134399E10</v>
      </c>
      <c r="AW45" s="132">
        <v>5.264212297134399E10</v>
      </c>
      <c r="AX45" s="135">
        <v>17.99789503508923</v>
      </c>
      <c r="AY45" s="135">
        <v>2.260261577506715</v>
      </c>
      <c r="AZ45" s="135">
        <v>25.21984070654838</v>
      </c>
      <c r="BA45" s="135">
        <v>12.55176990256175</v>
      </c>
      <c r="BB45" s="135">
        <v>0.03340986200720458</v>
      </c>
      <c r="BC45" s="135">
        <v>1.470729070831791</v>
      </c>
    </row>
    <row r="46" ht="15.75" customHeight="1">
      <c r="A46" s="130" t="s">
        <v>21</v>
      </c>
      <c r="B46" s="130">
        <v>2022.0</v>
      </c>
      <c r="C46" s="131">
        <v>60.95979690551758</v>
      </c>
      <c r="D46" s="132">
        <v>3.1496E10</v>
      </c>
      <c r="E46" s="132">
        <v>1.1312E10</v>
      </c>
      <c r="F46" s="132">
        <v>2.717E9</v>
      </c>
      <c r="G46" s="130">
        <v>1.96</v>
      </c>
      <c r="H46" s="130">
        <v>1.47</v>
      </c>
      <c r="I46" s="130">
        <v>1.385E9</v>
      </c>
      <c r="J46" s="132">
        <v>3.002E9</v>
      </c>
      <c r="K46" s="132">
        <v>3.908E9</v>
      </c>
      <c r="L46" s="132">
        <v>-9.06E8</v>
      </c>
      <c r="M46" s="133">
        <v>1.985E9</v>
      </c>
      <c r="N46" s="132">
        <v>1.923E9</v>
      </c>
      <c r="O46" s="132">
        <v>1.0091E10</v>
      </c>
      <c r="P46" s="132">
        <v>7.1161E10</v>
      </c>
      <c r="Q46" s="132">
        <v>7.1161E10</v>
      </c>
      <c r="R46" s="132">
        <v>1.6731E10</v>
      </c>
      <c r="S46" s="132">
        <v>3.381E9</v>
      </c>
      <c r="T46" s="132">
        <v>2.6883E10</v>
      </c>
      <c r="U46" s="132">
        <v>2.6883E10</v>
      </c>
      <c r="V46" s="132">
        <v>2.3447E10</v>
      </c>
      <c r="W46" s="132">
        <v>4.9816E10</v>
      </c>
      <c r="X46" s="132">
        <v>4.763E9</v>
      </c>
      <c r="Y46" s="132">
        <v>3.656E9</v>
      </c>
      <c r="Z46" s="132">
        <v>4.28E8</v>
      </c>
      <c r="AA46" s="132">
        <v>3.228E9</v>
      </c>
      <c r="AB46" s="132">
        <v>8.65E8</v>
      </c>
      <c r="AC46" s="134">
        <v>0.2679677819083023</v>
      </c>
      <c r="AD46" s="130"/>
      <c r="AE46" s="135">
        <v>0.3591567183134367</v>
      </c>
      <c r="AF46" s="135">
        <v>0.1160782321564643</v>
      </c>
      <c r="AG46" s="135">
        <v>0.08626492252984506</v>
      </c>
      <c r="AH46" s="135">
        <v>0.1010675891827549</v>
      </c>
      <c r="AI46" s="135">
        <v>0.03818102612385998</v>
      </c>
      <c r="AJ46" s="136">
        <v>2.676309789343246E9</v>
      </c>
      <c r="AK46" s="135">
        <v>0.05372389973790041</v>
      </c>
      <c r="AL46" s="135">
        <v>0.7305852042694148</v>
      </c>
      <c r="AM46" s="135">
        <v>0.6612258494337109</v>
      </c>
      <c r="AN46" s="135">
        <v>0.8721868839043262</v>
      </c>
      <c r="AO46" s="135">
        <v>8.542056074766355</v>
      </c>
      <c r="AP46" s="135">
        <v>0.1666737748965753</v>
      </c>
      <c r="AQ46" s="132">
        <v>2.1524E10</v>
      </c>
      <c r="AR46" s="135">
        <v>4.519000629855134</v>
      </c>
      <c r="AS46" s="135">
        <v>0.6031319108242185</v>
      </c>
      <c r="AT46" s="135">
        <v>0.401051939513478</v>
      </c>
      <c r="AU46" s="135">
        <v>0.1149363457055765</v>
      </c>
      <c r="AV46" s="132">
        <v>8.442931871414185E10</v>
      </c>
      <c r="AW46" s="132">
        <v>1.059533187141418E11</v>
      </c>
      <c r="AX46" s="135">
        <v>31.10193719669264</v>
      </c>
      <c r="AY46" s="135">
        <v>2.680636230446464</v>
      </c>
      <c r="AZ46" s="135">
        <v>28.12435666693599</v>
      </c>
      <c r="BA46" s="135">
        <v>22.24508056144066</v>
      </c>
      <c r="BB46" s="135">
        <v>0.02411425356745156</v>
      </c>
      <c r="BC46" s="135">
        <v>3.140621162598737</v>
      </c>
    </row>
    <row r="47" ht="15.75" customHeight="1">
      <c r="A47" s="130" t="s">
        <v>21</v>
      </c>
      <c r="B47" s="130">
        <v>2023.0</v>
      </c>
      <c r="C47" s="131">
        <v>67.77083587646484</v>
      </c>
      <c r="D47" s="132">
        <v>3.6016E10</v>
      </c>
      <c r="E47" s="132">
        <v>1.3764E10</v>
      </c>
      <c r="F47" s="132">
        <v>4.959E9</v>
      </c>
      <c r="G47" s="130">
        <v>3.62</v>
      </c>
      <c r="H47" s="130">
        <v>1.62</v>
      </c>
      <c r="I47" s="130">
        <v>1.37E9</v>
      </c>
      <c r="J47" s="132">
        <v>3.602E9</v>
      </c>
      <c r="K47" s="132">
        <v>4.714E9</v>
      </c>
      <c r="L47" s="132">
        <v>-1.112E9</v>
      </c>
      <c r="M47" s="133">
        <v>2.16E9</v>
      </c>
      <c r="N47" s="132">
        <v>1.81E9</v>
      </c>
      <c r="O47" s="132">
        <v>1.1703E10</v>
      </c>
      <c r="P47" s="132">
        <v>7.1391E10</v>
      </c>
      <c r="Q47" s="132">
        <v>7.1276E10</v>
      </c>
      <c r="R47" s="132">
        <v>1.9013E10</v>
      </c>
      <c r="S47" s="132">
        <v>3.615E9</v>
      </c>
      <c r="T47" s="132">
        <v>2.8332E10</v>
      </c>
      <c r="U47" s="132">
        <v>2.76075E10</v>
      </c>
      <c r="V47" s="132">
        <v>1.9945E10</v>
      </c>
      <c r="W47" s="132">
        <v>4.774E10</v>
      </c>
      <c r="X47" s="132">
        <v>7.645E9</v>
      </c>
      <c r="Y47" s="132">
        <v>6.43E9</v>
      </c>
      <c r="Z47" s="132">
        <v>5.5E8</v>
      </c>
      <c r="AA47" s="132">
        <v>5.88E9</v>
      </c>
      <c r="AB47" s="132">
        <v>1.537E9</v>
      </c>
      <c r="AC47" s="134">
        <v>0.2613945578231293</v>
      </c>
      <c r="AD47" s="130"/>
      <c r="AE47" s="135">
        <v>0.3821634828964904</v>
      </c>
      <c r="AF47" s="135">
        <v>0.1785317636605953</v>
      </c>
      <c r="AG47" s="135">
        <v>0.1376888049755664</v>
      </c>
      <c r="AH47" s="135">
        <v>0.1796251018744906</v>
      </c>
      <c r="AI47" s="135">
        <v>0.06957461136988607</v>
      </c>
      <c r="AJ47" s="136">
        <v>4.749232993197279E9</v>
      </c>
      <c r="AK47" s="135">
        <v>0.0994812105822639</v>
      </c>
      <c r="AL47" s="135">
        <v>0.4355716878402904</v>
      </c>
      <c r="AM47" s="135">
        <v>0.5996668517490283</v>
      </c>
      <c r="AN47" s="135">
        <v>0.7039743046731611</v>
      </c>
      <c r="AO47" s="135">
        <v>11.69090909090909</v>
      </c>
      <c r="AP47" s="135">
        <v>0.2363499623965906</v>
      </c>
      <c r="AQ47" s="132">
        <v>1.8135E10</v>
      </c>
      <c r="AR47" s="135">
        <v>2.372138652714192</v>
      </c>
      <c r="AS47" s="135">
        <v>0.615526218902856</v>
      </c>
      <c r="AT47" s="135">
        <v>0.4253931520538579</v>
      </c>
      <c r="AU47" s="135">
        <v>0.09519802240572241</v>
      </c>
      <c r="AV47" s="132">
        <v>9.284604515075684E10</v>
      </c>
      <c r="AW47" s="132">
        <v>1.109810451507568E11</v>
      </c>
      <c r="AX47" s="135">
        <v>18.72122538023891</v>
      </c>
      <c r="AY47" s="135">
        <v>2.57791107148925</v>
      </c>
      <c r="AZ47" s="135">
        <v>25.77624795967708</v>
      </c>
      <c r="BA47" s="135">
        <v>14.51681427740443</v>
      </c>
      <c r="BB47" s="135">
        <v>0.02390408763664942</v>
      </c>
      <c r="BC47" s="135">
        <v>3.277073455836398</v>
      </c>
    </row>
    <row r="48" ht="15.75" customHeight="1">
      <c r="A48" s="130" t="s">
        <v>21</v>
      </c>
      <c r="B48" s="130">
        <v>2024.0</v>
      </c>
      <c r="C48" s="131">
        <v>57.40383148193359</v>
      </c>
      <c r="D48" s="132">
        <v>3.6441E10</v>
      </c>
      <c r="E48" s="132">
        <v>1.4257E10</v>
      </c>
      <c r="F48" s="132">
        <v>4.611E9</v>
      </c>
      <c r="G48" s="130">
        <v>3.42</v>
      </c>
      <c r="H48" s="130">
        <v>1.79</v>
      </c>
      <c r="I48" s="130">
        <v>1.347E9</v>
      </c>
      <c r="J48" s="132">
        <v>3.523E9</v>
      </c>
      <c r="K48" s="132">
        <v>4.91E9</v>
      </c>
      <c r="L48" s="132">
        <v>-1.387E9</v>
      </c>
      <c r="M48" s="133">
        <v>2.349E9</v>
      </c>
      <c r="N48" s="132">
        <v>1.351E9</v>
      </c>
      <c r="O48" s="132">
        <v>1.3242E10</v>
      </c>
      <c r="P48" s="132">
        <v>6.8497E10</v>
      </c>
      <c r="Q48" s="132">
        <v>6.9944E10</v>
      </c>
      <c r="R48" s="132">
        <v>1.9549E10</v>
      </c>
      <c r="S48" s="132">
        <v>3.827E9</v>
      </c>
      <c r="T48" s="132">
        <v>2.6932E10</v>
      </c>
      <c r="U48" s="132">
        <v>2.7632E10</v>
      </c>
      <c r="V48" s="132">
        <v>1.8372E10</v>
      </c>
      <c r="W48" s="132">
        <v>4.4681E10</v>
      </c>
      <c r="X48" s="132">
        <v>8.071E9</v>
      </c>
      <c r="Y48" s="132">
        <v>6.769E9</v>
      </c>
      <c r="Z48" s="132">
        <v>5.08E8</v>
      </c>
      <c r="AA48" s="132">
        <v>6.261E9</v>
      </c>
      <c r="AB48" s="132">
        <v>1.469E9</v>
      </c>
      <c r="AC48" s="134">
        <v>0.2346270563807698</v>
      </c>
      <c r="AD48" s="130"/>
      <c r="AE48" s="135">
        <v>0.3912351472242803</v>
      </c>
      <c r="AF48" s="135">
        <v>0.1857523119563129</v>
      </c>
      <c r="AG48" s="135">
        <v>0.1265333004033918</v>
      </c>
      <c r="AH48" s="135">
        <v>0.1668717429067748</v>
      </c>
      <c r="AI48" s="135">
        <v>0.06592416790575317</v>
      </c>
      <c r="AJ48" s="136">
        <v>5.180809455358569E9</v>
      </c>
      <c r="AK48" s="135">
        <v>0.1159510632116239</v>
      </c>
      <c r="AL48" s="135">
        <v>0.5094339622641509</v>
      </c>
      <c r="AM48" s="135">
        <v>0.6667612829974453</v>
      </c>
      <c r="AN48" s="135">
        <v>0.6821624832912521</v>
      </c>
      <c r="AO48" s="135">
        <v>13.3248031496063</v>
      </c>
      <c r="AP48" s="135">
        <v>0.2672545177443936</v>
      </c>
      <c r="AQ48" s="132">
        <v>1.7021E10</v>
      </c>
      <c r="AR48" s="135">
        <v>2.108908437616157</v>
      </c>
      <c r="AS48" s="135">
        <v>0.6773748017801422</v>
      </c>
      <c r="AT48" s="135">
        <v>0.4816103125479564</v>
      </c>
      <c r="AU48" s="135">
        <v>0.0691083942912681</v>
      </c>
      <c r="AV48" s="132">
        <v>7.732296100616455E10</v>
      </c>
      <c r="AW48" s="132">
        <v>9.434396100616455E10</v>
      </c>
      <c r="AX48" s="135">
        <v>16.784746047349</v>
      </c>
      <c r="AY48" s="135">
        <v>2.121867155296632</v>
      </c>
      <c r="AZ48" s="135">
        <v>21.9480445660416</v>
      </c>
      <c r="BA48" s="135">
        <v>11.6892530053481</v>
      </c>
      <c r="BB48" s="135">
        <v>0.03118258753448117</v>
      </c>
      <c r="BC48" s="135">
        <v>2.871044148454053</v>
      </c>
    </row>
    <row r="49" ht="15.75" customHeight="1">
      <c r="A49" s="130" t="s">
        <v>21</v>
      </c>
      <c r="B49" s="130">
        <v>2025.0</v>
      </c>
      <c r="C49" s="131">
        <v>53.36794281005859</v>
      </c>
      <c r="D49" s="132">
        <v>3.8537E10</v>
      </c>
      <c r="E49" s="132">
        <v>1.0935E10</v>
      </c>
      <c r="F49" s="132">
        <v>2.451E9</v>
      </c>
      <c r="G49" s="130">
        <v>1.89</v>
      </c>
      <c r="H49" s="130">
        <v>1.94</v>
      </c>
      <c r="I49" s="130">
        <v>1.298E9</v>
      </c>
      <c r="J49" s="132">
        <v>3.235E9</v>
      </c>
      <c r="K49" s="132">
        <v>4.514E9</v>
      </c>
      <c r="L49" s="132">
        <v>-1.279E9</v>
      </c>
      <c r="M49" s="133">
        <v>2.487E9</v>
      </c>
      <c r="N49" s="132">
        <v>2.125E9</v>
      </c>
      <c r="O49" s="132">
        <v>1.2951E10</v>
      </c>
      <c r="P49" s="132">
        <v>7.1487E10</v>
      </c>
      <c r="Q49" s="132">
        <v>6.9992E10</v>
      </c>
      <c r="R49" s="132">
        <v>2.1864E10</v>
      </c>
      <c r="S49" s="132">
        <v>4.419E9</v>
      </c>
      <c r="T49" s="132">
        <v>2.5838E10</v>
      </c>
      <c r="U49" s="132">
        <v>2.6385E10</v>
      </c>
      <c r="V49" s="132">
        <v>2.1804E10</v>
      </c>
      <c r="W49" s="132">
        <v>4.7043E10</v>
      </c>
      <c r="X49" s="132">
        <v>4.971E9</v>
      </c>
      <c r="Y49" s="132">
        <v>3.613E9</v>
      </c>
      <c r="Z49" s="132">
        <v>5.99E8</v>
      </c>
      <c r="AA49" s="132">
        <v>3.014E9</v>
      </c>
      <c r="AB49" s="132">
        <v>7.82E8</v>
      </c>
      <c r="AC49" s="134">
        <v>0.2594558725945587</v>
      </c>
      <c r="AD49" s="130"/>
      <c r="AE49" s="135">
        <v>0.2837532760723461</v>
      </c>
      <c r="AF49" s="135">
        <v>0.09375405454498274</v>
      </c>
      <c r="AG49" s="135">
        <v>0.06360121441731323</v>
      </c>
      <c r="AH49" s="135">
        <v>0.09289368959636157</v>
      </c>
      <c r="AI49" s="135">
        <v>0.03501828780432049</v>
      </c>
      <c r="AJ49" s="136">
        <v>2.675585932315859E9</v>
      </c>
      <c r="AK49" s="135">
        <v>0.05687532538987435</v>
      </c>
      <c r="AL49" s="135">
        <v>1.01468788249694</v>
      </c>
      <c r="AM49" s="135">
        <v>0.7687789799072643</v>
      </c>
      <c r="AN49" s="135">
        <v>0.8438733648115179</v>
      </c>
      <c r="AO49" s="135">
        <v>6.031719532554257</v>
      </c>
      <c r="AP49" s="135">
        <v>0.2070262337185838</v>
      </c>
      <c r="AQ49" s="132">
        <v>1.9679E10</v>
      </c>
      <c r="AR49" s="135">
        <v>3.95876081271374</v>
      </c>
      <c r="AS49" s="135">
        <v>0.5923435784851812</v>
      </c>
      <c r="AT49" s="135">
        <v>0.3902305159165752</v>
      </c>
      <c r="AU49" s="135">
        <v>0.09719173069886572</v>
      </c>
      <c r="AV49" s="132">
        <v>6.927158976745605E10</v>
      </c>
      <c r="AW49" s="132">
        <v>8.895058976745605E10</v>
      </c>
      <c r="AX49" s="135">
        <v>28.23700677780878</v>
      </c>
      <c r="AY49" s="135">
        <v>1.797534571125309</v>
      </c>
      <c r="AZ49" s="135">
        <v>21.41316530678703</v>
      </c>
      <c r="BA49" s="135">
        <v>17.89390258850454</v>
      </c>
      <c r="BB49" s="135">
        <v>0.03635141056316595</v>
      </c>
      <c r="BC49" s="135">
        <v>2.68099658516356</v>
      </c>
    </row>
    <row r="50" ht="15.75" customHeight="1">
      <c r="A50" s="130" t="s">
        <v>13</v>
      </c>
      <c r="B50" s="130">
        <v>2022.0</v>
      </c>
      <c r="C50" s="131">
        <v>846.239990234375</v>
      </c>
      <c r="D50" s="132">
        <v>1.078E10</v>
      </c>
      <c r="E50" s="132">
        <v>5.198E9</v>
      </c>
      <c r="F50" s="132">
        <v>4.82E8</v>
      </c>
      <c r="G50" s="130">
        <v>9.53</v>
      </c>
      <c r="H50" s="130">
        <v>0.0</v>
      </c>
      <c r="I50" s="130">
        <v>5.1335621E7</v>
      </c>
      <c r="J50" s="132">
        <v>2.485E9</v>
      </c>
      <c r="K50" s="132">
        <v>2.94E9</v>
      </c>
      <c r="L50" s="132">
        <v>-4.55E8</v>
      </c>
      <c r="M50" s="133">
        <v>0.0</v>
      </c>
      <c r="N50" s="132">
        <v>1.91E9</v>
      </c>
      <c r="O50" s="132">
        <v>1.0953E10</v>
      </c>
      <c r="P50" s="132">
        <v>1.3736E10</v>
      </c>
      <c r="Q50" s="132">
        <v>1.3736E10</v>
      </c>
      <c r="R50" s="132">
        <v>8.562E9</v>
      </c>
      <c r="S50" s="132">
        <v>1.52E8</v>
      </c>
      <c r="T50" s="132">
        <v>1.827E9</v>
      </c>
      <c r="U50" s="132">
        <v>1.827E9</v>
      </c>
      <c r="V50" s="132">
        <v>5.414E9</v>
      </c>
      <c r="W50" s="132">
        <v>6.534E9</v>
      </c>
      <c r="X50" s="132">
        <v>1.318E9</v>
      </c>
      <c r="Y50" s="132">
        <v>9.15E8</v>
      </c>
      <c r="Z50" s="132">
        <v>1.35E8</v>
      </c>
      <c r="AA50" s="132">
        <v>7.8E8</v>
      </c>
      <c r="AB50" s="132">
        <v>2.98E8</v>
      </c>
      <c r="AC50" s="134">
        <v>0.382051282051282</v>
      </c>
      <c r="AD50" s="130"/>
      <c r="AE50" s="135">
        <v>0.4821892393320965</v>
      </c>
      <c r="AF50" s="135">
        <v>0.08487940630797773</v>
      </c>
      <c r="AG50" s="135">
        <v>0.04471243042671614</v>
      </c>
      <c r="AH50" s="135">
        <v>0.2638204707170224</v>
      </c>
      <c r="AI50" s="135">
        <v>0.03509027373325568</v>
      </c>
      <c r="AJ50" s="136">
        <v>5.65423076923077E8</v>
      </c>
      <c r="AK50" s="135">
        <v>0.08653551835370019</v>
      </c>
      <c r="AL50" s="135">
        <v>0.0</v>
      </c>
      <c r="AM50" s="135">
        <v>0.0</v>
      </c>
      <c r="AN50" s="135">
        <v>2.963327859879584</v>
      </c>
      <c r="AO50" s="135">
        <v>6.777777777777778</v>
      </c>
      <c r="AP50" s="135">
        <v>0.5430365718507573</v>
      </c>
      <c r="AQ50" s="132">
        <v>3.504E9</v>
      </c>
      <c r="AR50" s="135">
        <v>2.658573596358119</v>
      </c>
      <c r="AS50" s="135">
        <v>1.279257182901191</v>
      </c>
      <c r="AT50" s="135">
        <v>1.261504321420229</v>
      </c>
      <c r="AU50" s="135">
        <v>0.2230787199252511</v>
      </c>
      <c r="AV50" s="132">
        <v>4.344225541371558E10</v>
      </c>
      <c r="AW50" s="132">
        <v>4.694625541371558E10</v>
      </c>
      <c r="AX50" s="135">
        <v>88.79748061221144</v>
      </c>
      <c r="AY50" s="135">
        <v>4.02989382316471</v>
      </c>
      <c r="AZ50" s="135">
        <v>17.48179292302438</v>
      </c>
      <c r="BA50" s="135">
        <v>35.6193136674625</v>
      </c>
      <c r="BB50" s="135">
        <v>0.0</v>
      </c>
      <c r="BC50" s="135">
        <v>23.77791757729369</v>
      </c>
    </row>
    <row r="51" ht="15.75" customHeight="1">
      <c r="A51" s="130" t="s">
        <v>13</v>
      </c>
      <c r="B51" s="130">
        <v>2023.0</v>
      </c>
      <c r="C51" s="131">
        <v>1571.5400390625</v>
      </c>
      <c r="D51" s="132">
        <v>1.5107E10</v>
      </c>
      <c r="E51" s="132">
        <v>7.59E9</v>
      </c>
      <c r="F51" s="132">
        <v>9.87E8</v>
      </c>
      <c r="G51" s="130">
        <v>19.46</v>
      </c>
      <c r="H51" s="130">
        <v>0.0</v>
      </c>
      <c r="I51" s="130">
        <v>5.100626E7</v>
      </c>
      <c r="J51" s="132">
        <v>4.631E9</v>
      </c>
      <c r="K51" s="132">
        <v>5.14E9</v>
      </c>
      <c r="L51" s="132">
        <v>-5.09E8</v>
      </c>
      <c r="M51" s="133">
        <v>0.0</v>
      </c>
      <c r="N51" s="132">
        <v>2.556E9</v>
      </c>
      <c r="O51" s="132">
        <v>1.426E10</v>
      </c>
      <c r="P51" s="132">
        <v>1.7612E10</v>
      </c>
      <c r="Q51" s="132">
        <v>1.5674E10</v>
      </c>
      <c r="R51" s="132">
        <v>1.1263E10</v>
      </c>
      <c r="S51" s="132">
        <v>2.38E8</v>
      </c>
      <c r="T51" s="132">
        <v>3.071E9</v>
      </c>
      <c r="U51" s="132">
        <v>2.449E9</v>
      </c>
      <c r="V51" s="132">
        <v>5.333E9</v>
      </c>
      <c r="W51" s="132">
        <v>7.435E9</v>
      </c>
      <c r="X51" s="132">
        <v>2.251E9</v>
      </c>
      <c r="Y51" s="132">
        <v>1.727E9</v>
      </c>
      <c r="Z51" s="132">
        <v>1.74E8</v>
      </c>
      <c r="AA51" s="132">
        <v>1.553E9</v>
      </c>
      <c r="AB51" s="132">
        <v>5.69E8</v>
      </c>
      <c r="AC51" s="134">
        <v>0.3663876368319382</v>
      </c>
      <c r="AD51" s="130"/>
      <c r="AE51" s="135">
        <v>0.5024160984973853</v>
      </c>
      <c r="AF51" s="135">
        <v>0.1143178658899848</v>
      </c>
      <c r="AG51" s="135">
        <v>0.06533395114847422</v>
      </c>
      <c r="AH51" s="135">
        <v>0.403021641486321</v>
      </c>
      <c r="AI51" s="135">
        <v>0.06297052443537068</v>
      </c>
      <c r="AJ51" s="136">
        <v>1.094248551191243E9</v>
      </c>
      <c r="AK51" s="135">
        <v>0.1471753263202747</v>
      </c>
      <c r="AL51" s="135">
        <v>0.0</v>
      </c>
      <c r="AM51" s="135">
        <v>0.0</v>
      </c>
      <c r="AN51" s="135">
        <v>1.736567893194399</v>
      </c>
      <c r="AO51" s="135">
        <v>9.925287356321839</v>
      </c>
      <c r="AP51" s="135">
        <v>0.9638102381398838</v>
      </c>
      <c r="AQ51" s="132">
        <v>2.777E9</v>
      </c>
      <c r="AR51" s="135">
        <v>1.233673922701022</v>
      </c>
      <c r="AS51" s="135">
        <v>1.266092515315635</v>
      </c>
      <c r="AT51" s="135">
        <v>1.244961377963242</v>
      </c>
      <c r="AU51" s="135">
        <v>0.226937760809731</v>
      </c>
      <c r="AV51" s="132">
        <v>8.015837983283203E10</v>
      </c>
      <c r="AW51" s="132">
        <v>8.293537983283203E10</v>
      </c>
      <c r="AX51" s="135">
        <v>80.75745318923433</v>
      </c>
      <c r="AY51" s="135">
        <v>5.306042221012248</v>
      </c>
      <c r="AZ51" s="135">
        <v>17.30908655427165</v>
      </c>
      <c r="BA51" s="135">
        <v>36.84379379512751</v>
      </c>
      <c r="BB51" s="135">
        <v>0.0</v>
      </c>
      <c r="BC51" s="135">
        <v>26.10171925523674</v>
      </c>
    </row>
    <row r="52" ht="15.75" customHeight="1">
      <c r="A52" s="130" t="s">
        <v>13</v>
      </c>
      <c r="B52" s="130">
        <v>2024.0</v>
      </c>
      <c r="C52" s="131">
        <v>1700.43994140625</v>
      </c>
      <c r="D52" s="132">
        <v>2.0777E10</v>
      </c>
      <c r="E52" s="132">
        <v>9.577E9</v>
      </c>
      <c r="F52" s="132">
        <v>1.911E9</v>
      </c>
      <c r="G52" s="130">
        <v>37.69</v>
      </c>
      <c r="H52" s="130">
        <v>0.0</v>
      </c>
      <c r="I52" s="130">
        <v>5.0697428E7</v>
      </c>
      <c r="J52" s="132">
        <v>7.058E9</v>
      </c>
      <c r="K52" s="132">
        <v>7.918E9</v>
      </c>
      <c r="L52" s="132">
        <v>-8.6E8</v>
      </c>
      <c r="M52" s="133">
        <v>0.0</v>
      </c>
      <c r="N52" s="132">
        <v>2.635E9</v>
      </c>
      <c r="O52" s="132">
        <v>2.0142E10</v>
      </c>
      <c r="P52" s="132">
        <v>2.5196E10</v>
      </c>
      <c r="Q52" s="132">
        <v>2.1404E10</v>
      </c>
      <c r="R52" s="132">
        <v>1.6603E10</v>
      </c>
      <c r="S52" s="132">
        <v>2.96E8</v>
      </c>
      <c r="T52" s="132">
        <v>4.351E9</v>
      </c>
      <c r="U52" s="132">
        <v>3.711E9</v>
      </c>
      <c r="V52" s="132">
        <v>6.85E9</v>
      </c>
      <c r="W52" s="132">
        <v>9.944E9</v>
      </c>
      <c r="X52" s="132">
        <v>3.214E9</v>
      </c>
      <c r="Y52" s="132">
        <v>2.597E9</v>
      </c>
      <c r="Z52" s="132">
        <v>1.65E8</v>
      </c>
      <c r="AA52" s="132">
        <v>2.432E9</v>
      </c>
      <c r="AB52" s="132">
        <v>5.21E8</v>
      </c>
      <c r="AC52" s="134">
        <v>0.2142269736842105</v>
      </c>
      <c r="AD52" s="130"/>
      <c r="AE52" s="135">
        <v>0.4609423882177408</v>
      </c>
      <c r="AF52" s="135">
        <v>0.1249939837320114</v>
      </c>
      <c r="AG52" s="135">
        <v>0.09197670501034798</v>
      </c>
      <c r="AH52" s="135">
        <v>0.5149555375909458</v>
      </c>
      <c r="AI52" s="135">
        <v>0.08928237712577089</v>
      </c>
      <c r="AJ52" s="136">
        <v>2.040652549342105E9</v>
      </c>
      <c r="AK52" s="135">
        <v>0.2052144558871787</v>
      </c>
      <c r="AL52" s="135">
        <v>0.0</v>
      </c>
      <c r="AM52" s="135">
        <v>0.0</v>
      </c>
      <c r="AN52" s="135">
        <v>1.574350723971501</v>
      </c>
      <c r="AO52" s="135">
        <v>15.73939393939394</v>
      </c>
      <c r="AP52" s="135">
        <v>1.155912408759124</v>
      </c>
      <c r="AQ52" s="132">
        <v>4.215E9</v>
      </c>
      <c r="AR52" s="135">
        <v>1.31144990665837</v>
      </c>
      <c r="AS52" s="135">
        <v>1.213154249232066</v>
      </c>
      <c r="AT52" s="135">
        <v>1.195326145877251</v>
      </c>
      <c r="AU52" s="135">
        <v>0.1587062579051979</v>
      </c>
      <c r="AV52" s="132">
        <v>8.620793149776758E10</v>
      </c>
      <c r="AW52" s="132">
        <v>9.042293149776758E10</v>
      </c>
      <c r="AX52" s="135">
        <v>45.11647496434731</v>
      </c>
      <c r="AY52" s="135">
        <v>4.149200149095999</v>
      </c>
      <c r="AZ52" s="135">
        <v>12.21421528730059</v>
      </c>
      <c r="BA52" s="135">
        <v>28.1340794952606</v>
      </c>
      <c r="BB52" s="135">
        <v>0.0</v>
      </c>
      <c r="BC52" s="135">
        <v>19.81336049132787</v>
      </c>
    </row>
    <row r="53" ht="15.75" customHeight="1">
      <c r="A53" s="130" t="s">
        <v>13</v>
      </c>
      <c r="B53" s="130">
        <v>2025.0</v>
      </c>
      <c r="C53" s="131">
        <v>2014.260009765625</v>
      </c>
      <c r="D53" s="132">
        <v>2.8893E10</v>
      </c>
      <c r="E53" s="132">
        <v>1.2858E10</v>
      </c>
      <c r="F53" s="132">
        <v>1.997E9</v>
      </c>
      <c r="G53" s="130">
        <v>39.4</v>
      </c>
      <c r="H53" s="130">
        <v>0.0</v>
      </c>
      <c r="I53" s="130">
        <v>5.069732E7</v>
      </c>
      <c r="J53" s="132">
        <v>1.0773E10</v>
      </c>
      <c r="K53" s="132">
        <v>1.2116E10</v>
      </c>
      <c r="L53" s="132">
        <v>-1.343E9</v>
      </c>
      <c r="M53" s="133">
        <v>0.0</v>
      </c>
      <c r="N53" s="132">
        <v>3.67E9</v>
      </c>
      <c r="O53" s="132">
        <v>3.3573E10</v>
      </c>
      <c r="P53" s="132">
        <v>4.2667E10</v>
      </c>
      <c r="Q53" s="132">
        <v>3.39315E10</v>
      </c>
      <c r="R53" s="132">
        <v>2.8633E10</v>
      </c>
      <c r="S53" s="132">
        <v>5.7E8</v>
      </c>
      <c r="T53" s="132">
        <v>6.748E9</v>
      </c>
      <c r="U53" s="132">
        <v>5.5495E9</v>
      </c>
      <c r="V53" s="132">
        <v>1.1392E10</v>
      </c>
      <c r="W53" s="132">
        <v>1.5811E10</v>
      </c>
      <c r="X53" s="132">
        <v>3.82E9</v>
      </c>
      <c r="Y53" s="132">
        <v>3.002E9</v>
      </c>
      <c r="Z53" s="132">
        <v>1.6E8</v>
      </c>
      <c r="AA53" s="132">
        <v>2.842E9</v>
      </c>
      <c r="AB53" s="132">
        <v>8.45E8</v>
      </c>
      <c r="AC53" s="134">
        <v>0.2973258268824771</v>
      </c>
      <c r="AD53" s="130"/>
      <c r="AE53" s="135">
        <v>0.4450212854324577</v>
      </c>
      <c r="AF53" s="135">
        <v>0.1039005987609456</v>
      </c>
      <c r="AG53" s="135">
        <v>0.06911708718374693</v>
      </c>
      <c r="AH53" s="135">
        <v>0.3598522389404451</v>
      </c>
      <c r="AI53" s="135">
        <v>0.05885386735039713</v>
      </c>
      <c r="AJ53" s="136">
        <v>2.109427867698804E9</v>
      </c>
      <c r="AK53" s="135">
        <v>0.1334152088861428</v>
      </c>
      <c r="AL53" s="135">
        <v>0.0</v>
      </c>
      <c r="AM53" s="135">
        <v>0.0</v>
      </c>
      <c r="AN53" s="135">
        <v>1.688203912270302</v>
      </c>
      <c r="AO53" s="135">
        <v>18.7625</v>
      </c>
      <c r="AP53" s="135">
        <v>1.063553370786517</v>
      </c>
      <c r="AQ53" s="132">
        <v>7.722E9</v>
      </c>
      <c r="AR53" s="135">
        <v>2.021465968586388</v>
      </c>
      <c r="AS53" s="135">
        <v>1.172528201725282</v>
      </c>
      <c r="AT53" s="135">
        <v>1.152621101526211</v>
      </c>
      <c r="AU53" s="135">
        <v>0.1281737854922642</v>
      </c>
      <c r="AV53" s="132">
        <v>1.02117584278291E11</v>
      </c>
      <c r="AW53" s="132">
        <v>1.09839584278291E11</v>
      </c>
      <c r="AX53" s="135">
        <v>51.12335050166561</v>
      </c>
      <c r="AY53" s="135">
        <v>3.534336492516908</v>
      </c>
      <c r="AZ53" s="135">
        <v>9.479029451247658</v>
      </c>
      <c r="BA53" s="135">
        <v>28.75381787389817</v>
      </c>
      <c r="BB53" s="135">
        <v>0.0</v>
      </c>
      <c r="BC53" s="135">
        <v>15.13301486044621</v>
      </c>
    </row>
    <row r="54" ht="15.75" customHeight="1">
      <c r="A54" s="130" t="s">
        <v>14</v>
      </c>
      <c r="B54" s="130">
        <v>2022.0</v>
      </c>
      <c r="C54" s="131">
        <v>119.4029922485352</v>
      </c>
      <c r="D54" s="132">
        <v>1.16609E11</v>
      </c>
      <c r="E54" s="132">
        <v>9.136E10</v>
      </c>
      <c r="F54" s="132">
        <v>2.32E10</v>
      </c>
      <c r="G54" s="130">
        <v>8.59</v>
      </c>
      <c r="H54" s="130">
        <v>0.0</v>
      </c>
      <c r="I54" s="130">
        <v>2.702E9</v>
      </c>
      <c r="J54" s="132">
        <v>1.9289E10</v>
      </c>
      <c r="K54" s="132">
        <v>5.0475E10</v>
      </c>
      <c r="L54" s="132">
        <v>-3.1186E10</v>
      </c>
      <c r="M54" s="133">
        <v>0.0</v>
      </c>
      <c r="N54" s="132">
        <v>1.4681E10</v>
      </c>
      <c r="O54" s="132">
        <v>5.9549E10</v>
      </c>
      <c r="P54" s="132">
        <v>1.85727E11</v>
      </c>
      <c r="Q54" s="132">
        <v>1.85727E11</v>
      </c>
      <c r="R54" s="132">
        <v>2.7026E10</v>
      </c>
      <c r="S54" s="132"/>
      <c r="T54" s="132">
        <v>1.25713E11</v>
      </c>
      <c r="U54" s="132">
        <v>1.25713E11</v>
      </c>
      <c r="V54" s="132">
        <v>2.6591E10</v>
      </c>
      <c r="W54" s="132">
        <v>1.35636E11</v>
      </c>
      <c r="X54" s="132">
        <v>3.769E10</v>
      </c>
      <c r="Y54" s="132">
        <v>2.9004E10</v>
      </c>
      <c r="Z54" s="132">
        <v>1.85E8</v>
      </c>
      <c r="AA54" s="132">
        <v>2.8819E10</v>
      </c>
      <c r="AB54" s="132">
        <v>5.619E9</v>
      </c>
      <c r="AC54" s="134">
        <v>0.1949755369721364</v>
      </c>
      <c r="AD54" s="130"/>
      <c r="AE54" s="135">
        <v>0.7834729737841848</v>
      </c>
      <c r="AF54" s="135">
        <v>0.248728657307755</v>
      </c>
      <c r="AG54" s="135">
        <v>0.1989554837105198</v>
      </c>
      <c r="AH54" s="135">
        <v>0.1845473419614519</v>
      </c>
      <c r="AI54" s="135">
        <v>0.1249145250825136</v>
      </c>
      <c r="AJ54" s="136">
        <v>2.334892952566016E10</v>
      </c>
      <c r="AK54" s="135">
        <v>0.1721440438059229</v>
      </c>
      <c r="AL54" s="135">
        <v>0.0</v>
      </c>
      <c r="AM54" s="135">
        <v>0.0</v>
      </c>
      <c r="AN54" s="135">
        <v>0.2115214814696968</v>
      </c>
      <c r="AO54" s="135">
        <v>156.7783783783784</v>
      </c>
      <c r="AP54" s="135">
        <v>1.898198638637133</v>
      </c>
      <c r="AQ54" s="132">
        <v>1.191E10</v>
      </c>
      <c r="AR54" s="135">
        <v>0.3159989387105333</v>
      </c>
      <c r="AS54" s="135">
        <v>2.203396729075705</v>
      </c>
      <c r="AT54" s="135">
        <v>2.203396729075705</v>
      </c>
      <c r="AU54" s="135">
        <v>0.5432176422704063</v>
      </c>
      <c r="AV54" s="132">
        <v>3.22626885055542E11</v>
      </c>
      <c r="AW54" s="132">
        <v>3.34536885055542E11</v>
      </c>
      <c r="AX54" s="135">
        <v>13.90023192648838</v>
      </c>
      <c r="AY54" s="135">
        <v>2.766740860958777</v>
      </c>
      <c r="AZ54" s="135">
        <v>16.7259518407145</v>
      </c>
      <c r="BA54" s="135">
        <v>8.876011808318971</v>
      </c>
      <c r="BB54" s="135">
        <v>0.0</v>
      </c>
      <c r="BC54" s="135">
        <v>2.566376469064791</v>
      </c>
    </row>
    <row r="55" ht="15.75" customHeight="1">
      <c r="A55" s="130" t="s">
        <v>14</v>
      </c>
      <c r="B55" s="130">
        <v>2023.0</v>
      </c>
      <c r="C55" s="131">
        <v>351.2039184570312</v>
      </c>
      <c r="D55" s="132">
        <v>1.34902E11</v>
      </c>
      <c r="E55" s="132">
        <v>1.08943E11</v>
      </c>
      <c r="F55" s="132">
        <v>3.9098E10</v>
      </c>
      <c r="G55" s="130">
        <v>14.87</v>
      </c>
      <c r="H55" s="130">
        <v>0.0</v>
      </c>
      <c r="I55" s="130">
        <v>2.629E9</v>
      </c>
      <c r="J55" s="132">
        <v>4.4068E10</v>
      </c>
      <c r="K55" s="132">
        <v>7.1113E10</v>
      </c>
      <c r="L55" s="132">
        <v>-2.7045E10</v>
      </c>
      <c r="M55" s="133">
        <v>0.0</v>
      </c>
      <c r="N55" s="132">
        <v>4.1862E10</v>
      </c>
      <c r="O55" s="132">
        <v>8.5365E10</v>
      </c>
      <c r="P55" s="132">
        <v>2.29623E11</v>
      </c>
      <c r="Q55" s="132">
        <v>2.07675E11</v>
      </c>
      <c r="R55" s="132">
        <v>3.196E10</v>
      </c>
      <c r="S55" s="132"/>
      <c r="T55" s="132">
        <v>1.53168E11</v>
      </c>
      <c r="U55" s="132">
        <v>1.394405E11</v>
      </c>
      <c r="V55" s="132">
        <v>3.7234E10</v>
      </c>
      <c r="W55" s="132">
        <v>1.71553E11</v>
      </c>
      <c r="X55" s="132">
        <v>5.9052E10</v>
      </c>
      <c r="Y55" s="132">
        <v>4.7874E10</v>
      </c>
      <c r="Z55" s="132">
        <v>4.46E8</v>
      </c>
      <c r="AA55" s="132">
        <v>4.7428E10</v>
      </c>
      <c r="AB55" s="132">
        <v>8.33E9</v>
      </c>
      <c r="AC55" s="134">
        <v>0.1756346462005566</v>
      </c>
      <c r="AD55" s="130"/>
      <c r="AE55" s="135">
        <v>0.8075714222176098</v>
      </c>
      <c r="AF55" s="135">
        <v>0.3548798386977213</v>
      </c>
      <c r="AG55" s="135">
        <v>0.2898252064461609</v>
      </c>
      <c r="AH55" s="135">
        <v>0.2803919951520541</v>
      </c>
      <c r="AI55" s="135">
        <v>0.1882653184061635</v>
      </c>
      <c r="AJ55" s="136">
        <v>3.946566694779455E10</v>
      </c>
      <c r="AK55" s="135">
        <v>0.2300494129965349</v>
      </c>
      <c r="AL55" s="135">
        <v>0.0</v>
      </c>
      <c r="AM55" s="135">
        <v>0.0</v>
      </c>
      <c r="AN55" s="135">
        <v>0.2430925519690797</v>
      </c>
      <c r="AO55" s="135">
        <v>107.3408071748879</v>
      </c>
      <c r="AP55" s="135">
        <v>1.909894182736209</v>
      </c>
      <c r="AQ55" s="132">
        <v>-4.628E9</v>
      </c>
      <c r="AR55" s="135">
        <v>-0.07837160468739417</v>
      </c>
      <c r="AS55" s="135">
        <v>2.670994993742178</v>
      </c>
      <c r="AT55" s="135">
        <v>2.670994993742178</v>
      </c>
      <c r="AU55" s="135">
        <v>1.30982478097622</v>
      </c>
      <c r="AV55" s="132">
        <v>9.233151016235352E11</v>
      </c>
      <c r="AW55" s="132">
        <v>9.186871016235352E11</v>
      </c>
      <c r="AX55" s="135">
        <v>23.61828637908751</v>
      </c>
      <c r="AY55" s="135">
        <v>6.844339606703645</v>
      </c>
      <c r="AZ55" s="135">
        <v>20.95205368120939</v>
      </c>
      <c r="BA55" s="135">
        <v>15.55725634396016</v>
      </c>
      <c r="BB55" s="135">
        <v>0.0</v>
      </c>
      <c r="BC55" s="135">
        <v>6.028120114015559</v>
      </c>
    </row>
    <row r="56" ht="15.75" customHeight="1">
      <c r="A56" s="130" t="s">
        <v>14</v>
      </c>
      <c r="B56" s="130">
        <v>2024.0</v>
      </c>
      <c r="C56" s="131">
        <v>583.170166015625</v>
      </c>
      <c r="D56" s="132">
        <v>1.64501E11</v>
      </c>
      <c r="E56" s="132">
        <v>1.3434E11</v>
      </c>
      <c r="F56" s="132">
        <v>6.236E10</v>
      </c>
      <c r="G56" s="130">
        <v>23.86</v>
      </c>
      <c r="H56" s="130">
        <v>2.0</v>
      </c>
      <c r="I56" s="130">
        <v>2.614E9</v>
      </c>
      <c r="J56" s="132">
        <v>5.4072E10</v>
      </c>
      <c r="K56" s="132">
        <v>9.1328E10</v>
      </c>
      <c r="L56" s="132">
        <v>-3.7256E10</v>
      </c>
      <c r="M56" s="133">
        <v>5.072E9</v>
      </c>
      <c r="N56" s="132">
        <v>4.3889E10</v>
      </c>
      <c r="O56" s="132">
        <v>1.00045E11</v>
      </c>
      <c r="P56" s="132">
        <v>2.76054E11</v>
      </c>
      <c r="Q56" s="132">
        <v>2.528385E11</v>
      </c>
      <c r="R56" s="132">
        <v>3.3596E10</v>
      </c>
      <c r="S56" s="132"/>
      <c r="T56" s="132">
        <v>1.82637E11</v>
      </c>
      <c r="U56" s="132">
        <v>1.679025E11</v>
      </c>
      <c r="V56" s="132">
        <v>4.906E10</v>
      </c>
      <c r="W56" s="132">
        <v>2.11463E11</v>
      </c>
      <c r="X56" s="132">
        <v>8.6876E10</v>
      </c>
      <c r="Y56" s="132">
        <v>7.1378E10</v>
      </c>
      <c r="Z56" s="132">
        <v>7.15E8</v>
      </c>
      <c r="AA56" s="132">
        <v>7.0663E10</v>
      </c>
      <c r="AB56" s="132">
        <v>8.303E9</v>
      </c>
      <c r="AC56" s="134">
        <v>0.1175013797885739</v>
      </c>
      <c r="AD56" s="130"/>
      <c r="AE56" s="135">
        <v>0.8166515705071702</v>
      </c>
      <c r="AF56" s="135">
        <v>0.4339061768621467</v>
      </c>
      <c r="AG56" s="135">
        <v>0.3790858414234564</v>
      </c>
      <c r="AH56" s="135">
        <v>0.371406024329596</v>
      </c>
      <c r="AI56" s="135">
        <v>0.2466396533755737</v>
      </c>
      <c r="AJ56" s="136">
        <v>6.299098651345117E10</v>
      </c>
      <c r="AK56" s="135">
        <v>0.297881835183702</v>
      </c>
      <c r="AL56" s="135">
        <v>0.08133418858242464</v>
      </c>
      <c r="AM56" s="135">
        <v>0.09380085811510579</v>
      </c>
      <c r="AN56" s="135">
        <v>0.2686202686202686</v>
      </c>
      <c r="AO56" s="135">
        <v>99.82937062937063</v>
      </c>
      <c r="AP56" s="135">
        <v>1.861557276803913</v>
      </c>
      <c r="AQ56" s="132">
        <v>5.171E9</v>
      </c>
      <c r="AR56" s="135">
        <v>0.05952161701735807</v>
      </c>
      <c r="AS56" s="135">
        <v>2.977884271937135</v>
      </c>
      <c r="AT56" s="135">
        <v>2.977884271937135</v>
      </c>
      <c r="AU56" s="135">
        <v>1.306375759018931</v>
      </c>
      <c r="AV56" s="132">
        <v>1.524406813964844E12</v>
      </c>
      <c r="AW56" s="132">
        <v>1.529577813964844E12</v>
      </c>
      <c r="AX56" s="135">
        <v>24.44133135019384</v>
      </c>
      <c r="AY56" s="135">
        <v>9.266854389729204</v>
      </c>
      <c r="AZ56" s="135">
        <v>28.19216625915157</v>
      </c>
      <c r="BA56" s="135">
        <v>17.60644843184359</v>
      </c>
      <c r="BB56" s="135">
        <v>0.003429530721135027</v>
      </c>
      <c r="BC56" s="135">
        <v>8.346648345980517</v>
      </c>
    </row>
    <row r="57" ht="15.75" customHeight="1">
      <c r="A57" s="130" t="s">
        <v>14</v>
      </c>
      <c r="B57" s="130">
        <v>2025.0</v>
      </c>
      <c r="C57" s="131">
        <v>659.5253295898438</v>
      </c>
      <c r="D57" s="132">
        <v>2.00966E11</v>
      </c>
      <c r="E57" s="132">
        <v>1.64791E11</v>
      </c>
      <c r="F57" s="132">
        <v>6.0458E10</v>
      </c>
      <c r="G57" s="130">
        <v>23.49</v>
      </c>
      <c r="H57" s="130">
        <v>2.1</v>
      </c>
      <c r="I57" s="130">
        <v>2.574E9</v>
      </c>
      <c r="J57" s="132">
        <v>4.6109E10</v>
      </c>
      <c r="K57" s="132">
        <v>1.158E11</v>
      </c>
      <c r="L57" s="132">
        <v>-6.9691E10</v>
      </c>
      <c r="M57" s="133">
        <v>5.324E9</v>
      </c>
      <c r="N57" s="132">
        <v>3.5873E10</v>
      </c>
      <c r="O57" s="132">
        <v>1.08722E11</v>
      </c>
      <c r="P57" s="132">
        <v>3.66021E11</v>
      </c>
      <c r="Q57" s="132">
        <v>3.210375E11</v>
      </c>
      <c r="R57" s="132">
        <v>4.1836E10</v>
      </c>
      <c r="S57" s="132"/>
      <c r="T57" s="132">
        <v>2.17243E11</v>
      </c>
      <c r="U57" s="132">
        <v>1.9994E11</v>
      </c>
      <c r="V57" s="132">
        <v>8.3897E10</v>
      </c>
      <c r="W57" s="132">
        <v>2.75987E11</v>
      </c>
      <c r="X57" s="132">
        <v>1.05713E11</v>
      </c>
      <c r="Y57" s="132">
        <v>8.7097E10</v>
      </c>
      <c r="Z57" s="132">
        <v>1.165E9</v>
      </c>
      <c r="AA57" s="132">
        <v>8.5932E10</v>
      </c>
      <c r="AB57" s="132">
        <v>2.5474E10</v>
      </c>
      <c r="AC57" s="134">
        <v>0.2964436996695061</v>
      </c>
      <c r="AD57" s="130"/>
      <c r="AE57" s="135">
        <v>0.8199944269179861</v>
      </c>
      <c r="AF57" s="135">
        <v>0.4333917180020501</v>
      </c>
      <c r="AG57" s="135">
        <v>0.3008369574952977</v>
      </c>
      <c r="AH57" s="135">
        <v>0.3023807142142643</v>
      </c>
      <c r="AI57" s="135">
        <v>0.1883206790483978</v>
      </c>
      <c r="AJ57" s="136">
        <v>6.127764308988503E10</v>
      </c>
      <c r="AK57" s="135">
        <v>0.2220309039552045</v>
      </c>
      <c r="AL57" s="135">
        <v>0.08806113334877105</v>
      </c>
      <c r="AM57" s="135">
        <v>0.1154655273373962</v>
      </c>
      <c r="AN57" s="135">
        <v>0.3861896585850867</v>
      </c>
      <c r="AO57" s="135">
        <v>74.76137339055794</v>
      </c>
      <c r="AP57" s="135">
        <v>1.380263895014124</v>
      </c>
      <c r="AQ57" s="132">
        <v>4.8024E10</v>
      </c>
      <c r="AR57" s="135">
        <v>0.4542866061884536</v>
      </c>
      <c r="AS57" s="135">
        <v>2.598766612486854</v>
      </c>
      <c r="AT57" s="135">
        <v>2.598766612486854</v>
      </c>
      <c r="AU57" s="135">
        <v>0.8574672530834688</v>
      </c>
      <c r="AV57" s="132">
        <v>1.697618198364258E12</v>
      </c>
      <c r="AW57" s="132">
        <v>1.745642198364258E12</v>
      </c>
      <c r="AX57" s="135">
        <v>28.07685524009552</v>
      </c>
      <c r="AY57" s="135">
        <v>8.447290578327966</v>
      </c>
      <c r="AZ57" s="135">
        <v>36.81750197064039</v>
      </c>
      <c r="BA57" s="135">
        <v>16.51303244032671</v>
      </c>
      <c r="BB57" s="135">
        <v>0.003184108184754605</v>
      </c>
      <c r="BC57" s="135">
        <v>7.814374678881519</v>
      </c>
    </row>
    <row r="58" ht="15.75" customHeight="1">
      <c r="A58" s="130" t="s">
        <v>12</v>
      </c>
      <c r="B58" s="130">
        <v>2022.0</v>
      </c>
      <c r="C58" s="131">
        <v>233.1816253662109</v>
      </c>
      <c r="D58" s="132">
        <v>1.9827E11</v>
      </c>
      <c r="E58" s="132">
        <v>1.3562E11</v>
      </c>
      <c r="F58" s="132">
        <v>7.2738E10</v>
      </c>
      <c r="G58" s="130">
        <v>9.65</v>
      </c>
      <c r="H58" s="130">
        <v>2.54</v>
      </c>
      <c r="I58" s="130">
        <v>7.54E9</v>
      </c>
      <c r="J58" s="132">
        <v>6.5149E10</v>
      </c>
      <c r="K58" s="132">
        <v>8.9035E10</v>
      </c>
      <c r="L58" s="132">
        <v>-2.3886E10</v>
      </c>
      <c r="M58" s="133">
        <v>1.8135E10</v>
      </c>
      <c r="N58" s="132">
        <v>1.3931E10</v>
      </c>
      <c r="O58" s="132">
        <v>1.69684E11</v>
      </c>
      <c r="P58" s="132">
        <v>3.6484E11</v>
      </c>
      <c r="Q58" s="132">
        <v>3.6484E11</v>
      </c>
      <c r="R58" s="132">
        <v>9.5082E10</v>
      </c>
      <c r="S58" s="132">
        <v>3.742E9</v>
      </c>
      <c r="T58" s="132">
        <v>1.66542E11</v>
      </c>
      <c r="U58" s="132">
        <v>1.66542E11</v>
      </c>
      <c r="V58" s="132">
        <v>6.127E10</v>
      </c>
      <c r="W58" s="132">
        <v>2.16323E11</v>
      </c>
      <c r="X58" s="132">
        <v>1.00239E11</v>
      </c>
      <c r="Y58" s="132">
        <v>8.5779E10</v>
      </c>
      <c r="Z58" s="132">
        <v>2.063E9</v>
      </c>
      <c r="AA58" s="132">
        <v>8.3716E10</v>
      </c>
      <c r="AB58" s="132">
        <v>1.0978E10</v>
      </c>
      <c r="AC58" s="134">
        <v>0.1311338334368579</v>
      </c>
      <c r="AD58" s="130"/>
      <c r="AE58" s="135">
        <v>0.684016744842891</v>
      </c>
      <c r="AF58" s="135">
        <v>0.4326373127553336</v>
      </c>
      <c r="AG58" s="135">
        <v>0.3668633681343622</v>
      </c>
      <c r="AH58" s="135">
        <v>0.4367546925099975</v>
      </c>
      <c r="AI58" s="135">
        <v>0.1993695866681285</v>
      </c>
      <c r="AJ58" s="136">
        <v>7.453047090161977E10</v>
      </c>
      <c r="AK58" s="135">
        <v>0.3445332715505044</v>
      </c>
      <c r="AL58" s="135">
        <v>0.2493194753773818</v>
      </c>
      <c r="AM58" s="135">
        <v>0.278361908855086</v>
      </c>
      <c r="AN58" s="135">
        <v>0.3678951855988279</v>
      </c>
      <c r="AO58" s="135">
        <v>41.57973824527387</v>
      </c>
      <c r="AP58" s="135">
        <v>1.45315815244002</v>
      </c>
      <c r="AQ58" s="132">
        <v>4.7339E10</v>
      </c>
      <c r="AR58" s="135">
        <v>0.4722612955037461</v>
      </c>
      <c r="AS58" s="135">
        <v>1.784606970825182</v>
      </c>
      <c r="AT58" s="135">
        <v>1.745251467154666</v>
      </c>
      <c r="AU58" s="135">
        <v>0.1465156391325382</v>
      </c>
      <c r="AV58" s="132">
        <v>1.75818945526123E12</v>
      </c>
      <c r="AW58" s="132">
        <v>1.80552845526123E12</v>
      </c>
      <c r="AX58" s="135">
        <v>24.16389900167989</v>
      </c>
      <c r="AY58" s="135">
        <v>8.86765247017315</v>
      </c>
      <c r="AZ58" s="135">
        <v>26.9872055635732</v>
      </c>
      <c r="BA58" s="135">
        <v>18.01223531022088</v>
      </c>
      <c r="BB58" s="135">
        <v>0.01089279653150603</v>
      </c>
      <c r="BC58" s="135">
        <v>10.55703339254501</v>
      </c>
    </row>
    <row r="59" ht="15.75" customHeight="1">
      <c r="A59" s="130" t="s">
        <v>12</v>
      </c>
      <c r="B59" s="130">
        <v>2023.0</v>
      </c>
      <c r="C59" s="131">
        <v>368.8730163574219</v>
      </c>
      <c r="D59" s="132">
        <v>2.11915E11</v>
      </c>
      <c r="E59" s="132">
        <v>1.46052E11</v>
      </c>
      <c r="F59" s="132">
        <v>7.2361E10</v>
      </c>
      <c r="G59" s="130">
        <v>9.68</v>
      </c>
      <c r="H59" s="130">
        <v>2.79</v>
      </c>
      <c r="I59" s="130">
        <v>7.472E9</v>
      </c>
      <c r="J59" s="132">
        <v>5.9475E10</v>
      </c>
      <c r="K59" s="132">
        <v>8.7582E10</v>
      </c>
      <c r="L59" s="132">
        <v>-2.8107E10</v>
      </c>
      <c r="M59" s="133">
        <v>1.98E10</v>
      </c>
      <c r="N59" s="132">
        <v>3.4704E10</v>
      </c>
      <c r="O59" s="132">
        <v>1.84257E11</v>
      </c>
      <c r="P59" s="132">
        <v>4.11976E11</v>
      </c>
      <c r="Q59" s="132">
        <v>3.88408E11</v>
      </c>
      <c r="R59" s="132">
        <v>1.04149E11</v>
      </c>
      <c r="S59" s="132">
        <v>2.5E9</v>
      </c>
      <c r="T59" s="132">
        <v>2.06223E11</v>
      </c>
      <c r="U59" s="132">
        <v>1.863825E11</v>
      </c>
      <c r="V59" s="132">
        <v>5.9965E10</v>
      </c>
      <c r="W59" s="132">
        <v>2.5346E11</v>
      </c>
      <c r="X59" s="132">
        <v>1.0514E11</v>
      </c>
      <c r="Y59" s="132">
        <v>9.1279E10</v>
      </c>
      <c r="Z59" s="132">
        <v>1.968E9</v>
      </c>
      <c r="AA59" s="132">
        <v>8.9311E10</v>
      </c>
      <c r="AB59" s="132">
        <v>1.695E10</v>
      </c>
      <c r="AC59" s="134">
        <v>0.1897862525332826</v>
      </c>
      <c r="AD59" s="130"/>
      <c r="AE59" s="135">
        <v>0.6892008588349102</v>
      </c>
      <c r="AF59" s="135">
        <v>0.430734020715853</v>
      </c>
      <c r="AG59" s="135">
        <v>0.3414623787839464</v>
      </c>
      <c r="AH59" s="135">
        <v>0.3882392391989591</v>
      </c>
      <c r="AI59" s="135">
        <v>0.1863015179913905</v>
      </c>
      <c r="AJ59" s="136">
        <v>7.395550065501451E10</v>
      </c>
      <c r="AK59" s="135">
        <v>0.2917837159907461</v>
      </c>
      <c r="AL59" s="135">
        <v>0.2736280593137187</v>
      </c>
      <c r="AM59" s="135">
        <v>0.3329129886506936</v>
      </c>
      <c r="AN59" s="135">
        <v>0.2907774593522546</v>
      </c>
      <c r="AO59" s="135">
        <v>46.38160569105691</v>
      </c>
      <c r="AP59" s="135">
        <v>1.460551988660052</v>
      </c>
      <c r="AQ59" s="132">
        <v>2.5261E10</v>
      </c>
      <c r="AR59" s="135">
        <v>0.2402606049077421</v>
      </c>
      <c r="AS59" s="135">
        <v>1.76916725076573</v>
      </c>
      <c r="AT59" s="135">
        <v>1.745163179675273</v>
      </c>
      <c r="AU59" s="135">
        <v>0.3332149132492871</v>
      </c>
      <c r="AV59" s="132">
        <v>2.756219178222656E12</v>
      </c>
      <c r="AW59" s="132">
        <v>2.781480178222656E12</v>
      </c>
      <c r="AX59" s="135">
        <v>38.10671656584937</v>
      </c>
      <c r="AY59" s="135">
        <v>13.00624862903832</v>
      </c>
      <c r="AZ59" s="135">
        <v>46.34248303022541</v>
      </c>
      <c r="BA59" s="135">
        <v>26.45501405956492</v>
      </c>
      <c r="BB59" s="135">
        <v>0.007563578457299277</v>
      </c>
      <c r="BC59" s="135">
        <v>13.3652365556832</v>
      </c>
    </row>
    <row r="60" ht="15.75" customHeight="1">
      <c r="A60" s="130" t="s">
        <v>12</v>
      </c>
      <c r="B60" s="130">
        <v>2024.0</v>
      </c>
      <c r="C60" s="131">
        <v>416.5583801269531</v>
      </c>
      <c r="D60" s="132">
        <v>2.45122E11</v>
      </c>
      <c r="E60" s="132">
        <v>1.71008E11</v>
      </c>
      <c r="F60" s="132">
        <v>8.8136E10</v>
      </c>
      <c r="G60" s="130">
        <v>11.8</v>
      </c>
      <c r="H60" s="130">
        <v>3.08</v>
      </c>
      <c r="I60" s="130">
        <v>7.469E9</v>
      </c>
      <c r="J60" s="132">
        <v>7.4071E10</v>
      </c>
      <c r="K60" s="132">
        <v>1.18548E11</v>
      </c>
      <c r="L60" s="132">
        <v>-4.4477E10</v>
      </c>
      <c r="M60" s="133">
        <v>2.1771E10</v>
      </c>
      <c r="N60" s="132">
        <v>1.8315E10</v>
      </c>
      <c r="O60" s="132">
        <v>1.59734E11</v>
      </c>
      <c r="P60" s="132">
        <v>5.12163E11</v>
      </c>
      <c r="Q60" s="132">
        <v>4.620695E11</v>
      </c>
      <c r="R60" s="132">
        <v>1.25286E11</v>
      </c>
      <c r="S60" s="132">
        <v>1.246E9</v>
      </c>
      <c r="T60" s="132">
        <v>2.68477E11</v>
      </c>
      <c r="U60" s="132">
        <v>2.3735E11</v>
      </c>
      <c r="V60" s="132">
        <v>6.7127E10</v>
      </c>
      <c r="W60" s="132">
        <v>3.20107E11</v>
      </c>
      <c r="X60" s="132">
        <v>1.33009E11</v>
      </c>
      <c r="Y60" s="132">
        <v>1.10722E11</v>
      </c>
      <c r="Z60" s="132">
        <v>2.935E9</v>
      </c>
      <c r="AA60" s="132">
        <v>1.07787E11</v>
      </c>
      <c r="AB60" s="132">
        <v>1.9651E10</v>
      </c>
      <c r="AC60" s="134">
        <v>0.182313265978272</v>
      </c>
      <c r="AD60" s="130"/>
      <c r="AE60" s="135">
        <v>0.6976444382797138</v>
      </c>
      <c r="AF60" s="135">
        <v>0.4517016016514225</v>
      </c>
      <c r="AG60" s="135">
        <v>0.3595597294408499</v>
      </c>
      <c r="AH60" s="135">
        <v>0.3713334737729092</v>
      </c>
      <c r="AI60" s="135">
        <v>0.1907418689179874</v>
      </c>
      <c r="AJ60" s="136">
        <v>9.053591056435376E10</v>
      </c>
      <c r="AK60" s="135">
        <v>0.2828301491824726</v>
      </c>
      <c r="AL60" s="135">
        <v>0.2470159753108832</v>
      </c>
      <c r="AM60" s="135">
        <v>0.2939206977089549</v>
      </c>
      <c r="AN60" s="135">
        <v>0.2500288665323286</v>
      </c>
      <c r="AO60" s="135">
        <v>37.72470187393527</v>
      </c>
      <c r="AP60" s="135">
        <v>1.766025593278413</v>
      </c>
      <c r="AQ60" s="132">
        <v>4.8812E10</v>
      </c>
      <c r="AR60" s="135">
        <v>0.3669826853821922</v>
      </c>
      <c r="AS60" s="135">
        <v>1.274954903181521</v>
      </c>
      <c r="AT60" s="135">
        <v>1.265009657902719</v>
      </c>
      <c r="AU60" s="135">
        <v>0.1461855275130501</v>
      </c>
      <c r="AV60" s="132">
        <v>3.111274541168213E12</v>
      </c>
      <c r="AW60" s="132">
        <v>3.160086541168213E12</v>
      </c>
      <c r="AX60" s="135">
        <v>35.30155763787738</v>
      </c>
      <c r="AY60" s="135">
        <v>12.69275928381872</v>
      </c>
      <c r="AZ60" s="135">
        <v>42.00394946967386</v>
      </c>
      <c r="BA60" s="135">
        <v>23.75844146763161</v>
      </c>
      <c r="BB60" s="135">
        <v>0.007393921589241149</v>
      </c>
      <c r="BC60" s="135">
        <v>11.58860737109031</v>
      </c>
    </row>
    <row r="61" ht="15.75" customHeight="1">
      <c r="A61" s="130" t="s">
        <v>12</v>
      </c>
      <c r="B61" s="130">
        <v>2025.0</v>
      </c>
      <c r="C61" s="131">
        <v>481.4758605957031</v>
      </c>
      <c r="D61" s="132">
        <v>2.81724E11</v>
      </c>
      <c r="E61" s="132">
        <v>1.93893E11</v>
      </c>
      <c r="F61" s="132">
        <v>1.01832E11</v>
      </c>
      <c r="G61" s="130">
        <v>13.64</v>
      </c>
      <c r="H61" s="130">
        <v>3.4</v>
      </c>
      <c r="I61" s="130">
        <v>7.465E9</v>
      </c>
      <c r="J61" s="132">
        <v>7.1611E10</v>
      </c>
      <c r="K61" s="132">
        <v>1.36162E11</v>
      </c>
      <c r="L61" s="132">
        <v>-6.4551E10</v>
      </c>
      <c r="M61" s="133">
        <v>2.4082E10</v>
      </c>
      <c r="N61" s="132">
        <v>3.0242E10</v>
      </c>
      <c r="O61" s="132">
        <v>1.91131E11</v>
      </c>
      <c r="P61" s="132">
        <v>6.19003E11</v>
      </c>
      <c r="Q61" s="132">
        <v>5.65583E11</v>
      </c>
      <c r="R61" s="132">
        <v>1.41218E11</v>
      </c>
      <c r="S61" s="132">
        <v>9.38E8</v>
      </c>
      <c r="T61" s="132">
        <v>3.43479E11</v>
      </c>
      <c r="U61" s="132">
        <v>3.05978E11</v>
      </c>
      <c r="V61" s="132">
        <v>6.0588E10</v>
      </c>
      <c r="W61" s="132">
        <v>3.8663E11</v>
      </c>
      <c r="X61" s="132">
        <v>1.60165E11</v>
      </c>
      <c r="Y61" s="132">
        <v>1.26012E11</v>
      </c>
      <c r="Z61" s="132">
        <v>2.385E9</v>
      </c>
      <c r="AA61" s="132">
        <v>1.23627E11</v>
      </c>
      <c r="AB61" s="132">
        <v>2.1795E10</v>
      </c>
      <c r="AC61" s="134">
        <v>0.1762964400980368</v>
      </c>
      <c r="AD61" s="130"/>
      <c r="AE61" s="135">
        <v>0.6882374238616519</v>
      </c>
      <c r="AF61" s="135">
        <v>0.447288835881927</v>
      </c>
      <c r="AG61" s="135">
        <v>0.3614601524896707</v>
      </c>
      <c r="AH61" s="135">
        <v>0.3328082411153743</v>
      </c>
      <c r="AI61" s="135">
        <v>0.1800478444366256</v>
      </c>
      <c r="AJ61" s="136">
        <v>1.037965329903662E11</v>
      </c>
      <c r="AK61" s="135">
        <v>0.2684647673237105</v>
      </c>
      <c r="AL61" s="135">
        <v>0.2364875481184696</v>
      </c>
      <c r="AM61" s="135">
        <v>0.3362891175936658</v>
      </c>
      <c r="AN61" s="135">
        <v>0.1763950634536609</v>
      </c>
      <c r="AO61" s="135">
        <v>52.83522012578617</v>
      </c>
      <c r="AP61" s="135">
        <v>2.247342708127022</v>
      </c>
      <c r="AQ61" s="132">
        <v>3.0346E10</v>
      </c>
      <c r="AR61" s="135">
        <v>0.189467112040708</v>
      </c>
      <c r="AS61" s="135">
        <v>1.353446444504242</v>
      </c>
      <c r="AT61" s="135">
        <v>1.346804231755159</v>
      </c>
      <c r="AU61" s="135">
        <v>0.2141511705306689</v>
      </c>
      <c r="AV61" s="132">
        <v>3.594217299346924E12</v>
      </c>
      <c r="AW61" s="132">
        <v>3.624563299346924E12</v>
      </c>
      <c r="AX61" s="135">
        <v>35.29881675921577</v>
      </c>
      <c r="AY61" s="135">
        <v>12.75793790854497</v>
      </c>
      <c r="AZ61" s="135">
        <v>50.19085474783098</v>
      </c>
      <c r="BA61" s="135">
        <v>22.63018324444744</v>
      </c>
      <c r="BB61" s="135">
        <v>0.00706162089994163</v>
      </c>
      <c r="BC61" s="135">
        <v>10.46415442966506</v>
      </c>
    </row>
    <row r="62" ht="15.75" customHeight="1">
      <c r="A62" s="130" t="s">
        <v>19</v>
      </c>
      <c r="B62" s="130">
        <v>2022.0</v>
      </c>
      <c r="C62" s="131">
        <v>29.48800086975098</v>
      </c>
      <c r="D62" s="132">
        <v>3.161555E10</v>
      </c>
      <c r="E62" s="132">
        <v>1.2447265E10</v>
      </c>
      <c r="F62" s="132">
        <v>4.491924E9</v>
      </c>
      <c r="G62" s="130">
        <v>0.995</v>
      </c>
      <c r="H62" s="130"/>
      <c r="I62" s="130">
        <v>4.5129E9</v>
      </c>
      <c r="J62" s="132">
        <v>1.618528E9</v>
      </c>
      <c r="K62" s="132">
        <v>2.026257E9</v>
      </c>
      <c r="L62" s="132">
        <v>-4.07729E8</v>
      </c>
      <c r="M62" s="133"/>
      <c r="N62" s="132">
        <v>5.147176E9</v>
      </c>
      <c r="O62" s="132">
        <v>9.266473E9</v>
      </c>
      <c r="P62" s="132">
        <v>4.8594768E10</v>
      </c>
      <c r="Q62" s="132">
        <v>4.8594768E10</v>
      </c>
      <c r="R62" s="132">
        <v>7.930974E9</v>
      </c>
      <c r="S62" s="132"/>
      <c r="T62" s="132">
        <v>2.0777401E10</v>
      </c>
      <c r="U62" s="132">
        <v>2.0777401E10</v>
      </c>
      <c r="V62" s="132">
        <v>1.4353076E10</v>
      </c>
      <c r="W62" s="132">
        <v>3.5130477E10</v>
      </c>
      <c r="X62" s="132">
        <v>2.0332955E10</v>
      </c>
      <c r="Y62" s="132">
        <v>5.970141E9</v>
      </c>
      <c r="Z62" s="132">
        <v>7.06212E8</v>
      </c>
      <c r="AA62" s="132">
        <v>5.263929E9</v>
      </c>
      <c r="AB62" s="132">
        <v>7.72005E8</v>
      </c>
      <c r="AC62" s="134">
        <v>0.1466594629220873</v>
      </c>
      <c r="AD62" s="130"/>
      <c r="AE62" s="135">
        <v>0.3937070523840325</v>
      </c>
      <c r="AF62" s="135">
        <v>0.1888355888162629</v>
      </c>
      <c r="AG62" s="135">
        <v>0.1420795779292152</v>
      </c>
      <c r="AH62" s="135">
        <v>0.2161927759877186</v>
      </c>
      <c r="AI62" s="135">
        <v>0.09243637092783322</v>
      </c>
      <c r="AJ62" s="136">
        <v>5.094563327370867E9</v>
      </c>
      <c r="AK62" s="135">
        <v>0.145018336283076</v>
      </c>
      <c r="AL62" s="135"/>
      <c r="AM62" s="135"/>
      <c r="AN62" s="135">
        <v>0.6908022808049957</v>
      </c>
      <c r="AO62" s="135">
        <v>8.453751847887037</v>
      </c>
      <c r="AP62" s="135">
        <v>0.14117231734856</v>
      </c>
      <c r="AQ62" s="132">
        <v>9.2059E9</v>
      </c>
      <c r="AR62" s="135">
        <v>0.4527576045882165</v>
      </c>
      <c r="AS62" s="135">
        <v>1.168390288506809</v>
      </c>
      <c r="AT62" s="135">
        <v>1.168390288506809</v>
      </c>
      <c r="AU62" s="135">
        <v>0.6489967058270523</v>
      </c>
      <c r="AV62" s="132">
        <v>1.330763991250992E11</v>
      </c>
      <c r="AW62" s="132">
        <v>1.422822991250992E11</v>
      </c>
      <c r="AX62" s="135">
        <v>29.6361817786442</v>
      </c>
      <c r="AY62" s="135">
        <v>4.209207150440185</v>
      </c>
      <c r="AZ62" s="135">
        <v>82.220634505612</v>
      </c>
      <c r="BA62" s="135">
        <v>6.997620322530551</v>
      </c>
      <c r="BB62" s="135"/>
      <c r="BC62" s="135">
        <v>6.404862625748965</v>
      </c>
    </row>
    <row r="63" ht="15.75" customHeight="1">
      <c r="A63" s="130" t="s">
        <v>19</v>
      </c>
      <c r="B63" s="130">
        <v>2023.0</v>
      </c>
      <c r="C63" s="131">
        <v>48.6879997253418</v>
      </c>
      <c r="D63" s="132">
        <v>3.3723297E10</v>
      </c>
      <c r="E63" s="132">
        <v>1.4007929E10</v>
      </c>
      <c r="F63" s="132">
        <v>5.40799E9</v>
      </c>
      <c r="G63" s="130">
        <v>1.203</v>
      </c>
      <c r="H63" s="130"/>
      <c r="I63" s="130">
        <v>4.49498E9</v>
      </c>
      <c r="J63" s="132">
        <v>6.925749E9</v>
      </c>
      <c r="K63" s="132">
        <v>7.274301E9</v>
      </c>
      <c r="L63" s="132">
        <v>-3.48552E8</v>
      </c>
      <c r="M63" s="133"/>
      <c r="N63" s="132">
        <v>7.116913E9</v>
      </c>
      <c r="O63" s="132">
        <v>9.918133E9</v>
      </c>
      <c r="P63" s="132">
        <v>4.8731992E10</v>
      </c>
      <c r="Q63" s="132">
        <v>4.866338E10</v>
      </c>
      <c r="R63" s="132">
        <v>8.860655E9</v>
      </c>
      <c r="S63" s="132"/>
      <c r="T63" s="132">
        <v>2.0588313E10</v>
      </c>
      <c r="U63" s="132">
        <v>2.0682857E10</v>
      </c>
      <c r="V63" s="132">
        <v>1.4543261E10</v>
      </c>
      <c r="W63" s="132">
        <v>3.5131574E10</v>
      </c>
      <c r="X63" s="132">
        <v>2.1508387E10</v>
      </c>
      <c r="Y63" s="132">
        <v>6.954003E9</v>
      </c>
      <c r="Z63" s="132">
        <v>7.48598E8</v>
      </c>
      <c r="AA63" s="132">
        <v>6.205405E9</v>
      </c>
      <c r="AB63" s="132">
        <v>7.97415E8</v>
      </c>
      <c r="AC63" s="134">
        <v>0.1285032967227764</v>
      </c>
      <c r="AD63" s="130"/>
      <c r="AE63" s="135">
        <v>0.4153783955346952</v>
      </c>
      <c r="AF63" s="135">
        <v>0.2062076848535895</v>
      </c>
      <c r="AG63" s="135">
        <v>0.1603636204372307</v>
      </c>
      <c r="AH63" s="135">
        <v>0.26147209739931</v>
      </c>
      <c r="AI63" s="135">
        <v>0.1111305873122664</v>
      </c>
      <c r="AJ63" s="136">
        <v>6.060390689079923E9</v>
      </c>
      <c r="AK63" s="135">
        <v>0.1725055270532406</v>
      </c>
      <c r="AL63" s="135"/>
      <c r="AM63" s="135"/>
      <c r="AN63" s="135">
        <v>0.7063842967609828</v>
      </c>
      <c r="AO63" s="135">
        <v>9.289368926980837</v>
      </c>
      <c r="AP63" s="135">
        <v>0.5001836245667323</v>
      </c>
      <c r="AQ63" s="132">
        <v>7.426348E9</v>
      </c>
      <c r="AR63" s="135">
        <v>0.3452768447954744</v>
      </c>
      <c r="AS63" s="135">
        <v>1.119345353136986</v>
      </c>
      <c r="AT63" s="135">
        <v>1.119345353136986</v>
      </c>
      <c r="AU63" s="135">
        <v>0.8032039392121688</v>
      </c>
      <c r="AV63" s="132">
        <v>2.188515850054169E11</v>
      </c>
      <c r="AW63" s="132">
        <v>2.262779330054169E11</v>
      </c>
      <c r="AX63" s="135">
        <v>40.47215272264489</v>
      </c>
      <c r="AY63" s="135">
        <v>6.489625999658838</v>
      </c>
      <c r="AZ63" s="135">
        <v>31.59969918133286</v>
      </c>
      <c r="BA63" s="135">
        <v>10.52045106894426</v>
      </c>
      <c r="BB63" s="135"/>
      <c r="BC63" s="135">
        <v>10.62989400857743</v>
      </c>
    </row>
    <row r="64" ht="15.75" customHeight="1">
      <c r="A64" s="130" t="s">
        <v>19</v>
      </c>
      <c r="B64" s="130">
        <v>2024.0</v>
      </c>
      <c r="C64" s="131">
        <v>89.13200378417969</v>
      </c>
      <c r="D64" s="132">
        <v>3.9000966E10</v>
      </c>
      <c r="E64" s="132">
        <v>1.7962502E10</v>
      </c>
      <c r="F64" s="132">
        <v>8.711631E9</v>
      </c>
      <c r="G64" s="130">
        <v>1.983</v>
      </c>
      <c r="H64" s="130"/>
      <c r="I64" s="130">
        <v>4.39261E9</v>
      </c>
      <c r="J64" s="132">
        <v>6.921826E9</v>
      </c>
      <c r="K64" s="132">
        <v>7.361364E9</v>
      </c>
      <c r="L64" s="132">
        <v>-4.39538E8</v>
      </c>
      <c r="M64" s="133"/>
      <c r="N64" s="132">
        <v>7.804733E9</v>
      </c>
      <c r="O64" s="132">
        <v>1.3100379E10</v>
      </c>
      <c r="P64" s="132">
        <v>5.3630374E10</v>
      </c>
      <c r="Q64" s="132">
        <v>5.1181183E10</v>
      </c>
      <c r="R64" s="132">
        <v>1.07554E10</v>
      </c>
      <c r="S64" s="132"/>
      <c r="T64" s="132">
        <v>2.4743567E10</v>
      </c>
      <c r="U64" s="132">
        <v>2.266594E10</v>
      </c>
      <c r="V64" s="132">
        <v>1.5582804E10</v>
      </c>
      <c r="W64" s="132">
        <v>4.0326371E10</v>
      </c>
      <c r="X64" s="132">
        <v>2.6314821E10</v>
      </c>
      <c r="Y64" s="132">
        <v>1.068439E10</v>
      </c>
      <c r="Z64" s="132">
        <v>7.18733E8</v>
      </c>
      <c r="AA64" s="132">
        <v>9.965657E9</v>
      </c>
      <c r="AB64" s="132">
        <v>1.254026E9</v>
      </c>
      <c r="AC64" s="134">
        <v>0.1258347542966811</v>
      </c>
      <c r="AD64" s="130"/>
      <c r="AE64" s="135">
        <v>0.4605655665041732</v>
      </c>
      <c r="AF64" s="135">
        <v>0.2739519323700854</v>
      </c>
      <c r="AG64" s="135">
        <v>0.2233696211524607</v>
      </c>
      <c r="AH64" s="135">
        <v>0.3843489835409429</v>
      </c>
      <c r="AI64" s="135">
        <v>0.1702115990558483</v>
      </c>
      <c r="AJ64" s="136">
        <v>9.339922409540083E9</v>
      </c>
      <c r="AK64" s="135">
        <v>0.2316083043906947</v>
      </c>
      <c r="AL64" s="135"/>
      <c r="AM64" s="135"/>
      <c r="AN64" s="135">
        <v>0.6297719322359626</v>
      </c>
      <c r="AO64" s="135">
        <v>14.86558986438636</v>
      </c>
      <c r="AP64" s="135">
        <v>0.4724030411984904</v>
      </c>
      <c r="AQ64" s="132">
        <v>7.778071E9</v>
      </c>
      <c r="AR64" s="135">
        <v>0.2955775758459463</v>
      </c>
      <c r="AS64" s="135">
        <v>1.218028060323187</v>
      </c>
      <c r="AT64" s="135">
        <v>1.218028060323187</v>
      </c>
      <c r="AU64" s="135">
        <v>0.7256571582646857</v>
      </c>
      <c r="AV64" s="132">
        <v>3.915221311424255E11</v>
      </c>
      <c r="AW64" s="132">
        <v>3.993002021424255E11</v>
      </c>
      <c r="AX64" s="135">
        <v>44.94806040553691</v>
      </c>
      <c r="AY64" s="135">
        <v>10.03878035078479</v>
      </c>
      <c r="AZ64" s="135">
        <v>56.56341710156042</v>
      </c>
      <c r="BA64" s="135">
        <v>15.17396611371309</v>
      </c>
      <c r="BB64" s="135"/>
      <c r="BC64" s="135">
        <v>15.82318875618966</v>
      </c>
    </row>
    <row r="65" ht="15.75" customHeight="1">
      <c r="A65" s="130" t="s">
        <v>19</v>
      </c>
      <c r="B65" s="130">
        <v>2025.0</v>
      </c>
      <c r="C65" s="131">
        <v>93.76000213623047</v>
      </c>
      <c r="D65" s="132">
        <v>4.5183036E10</v>
      </c>
      <c r="E65" s="132">
        <v>2.1907707E10</v>
      </c>
      <c r="F65" s="132">
        <v>1.0981201E10</v>
      </c>
      <c r="G65" s="130">
        <v>2.53</v>
      </c>
      <c r="H65" s="130"/>
      <c r="I65" s="130">
        <v>4.343863E9</v>
      </c>
      <c r="J65" s="132">
        <v>9.461053E9</v>
      </c>
      <c r="K65" s="132">
        <v>1.0149273E10</v>
      </c>
      <c r="L65" s="132">
        <v>-6.8822E8</v>
      </c>
      <c r="M65" s="133"/>
      <c r="N65" s="132">
        <v>9.033681E9</v>
      </c>
      <c r="O65" s="132">
        <v>1.3020191E10</v>
      </c>
      <c r="P65" s="132">
        <v>5.5596993E10</v>
      </c>
      <c r="Q65" s="132">
        <v>5.46136835E10</v>
      </c>
      <c r="R65" s="132">
        <v>1.098093E10</v>
      </c>
      <c r="S65" s="132"/>
      <c r="T65" s="132">
        <v>2.6615488E10</v>
      </c>
      <c r="U65" s="132">
        <v>2.56795275E10</v>
      </c>
      <c r="V65" s="132">
        <v>1.4462836E10</v>
      </c>
      <c r="W65" s="132">
        <v>4.1078324E10</v>
      </c>
      <c r="X65" s="132">
        <v>3.0254617E10</v>
      </c>
      <c r="Y65" s="132">
        <v>1.3499062E10</v>
      </c>
      <c r="Z65" s="132">
        <v>7.7651E8</v>
      </c>
      <c r="AA65" s="132">
        <v>1.2722552E10</v>
      </c>
      <c r="AB65" s="132">
        <v>1.741351E9</v>
      </c>
      <c r="AC65" s="134">
        <v>0.1368712031988551</v>
      </c>
      <c r="AD65" s="130"/>
      <c r="AE65" s="135">
        <v>0.4848657580247596</v>
      </c>
      <c r="AF65" s="135">
        <v>0.2987639431754874</v>
      </c>
      <c r="AG65" s="135">
        <v>0.2430381393583202</v>
      </c>
      <c r="AH65" s="135">
        <v>0.4276247294659141</v>
      </c>
      <c r="AI65" s="135">
        <v>0.2010705064418517</v>
      </c>
      <c r="AJ65" s="136">
        <v>1.165142914200406E10</v>
      </c>
      <c r="AK65" s="135">
        <v>0.2836393505734084</v>
      </c>
      <c r="AL65" s="135"/>
      <c r="AM65" s="135"/>
      <c r="AN65" s="135">
        <v>0.5433992418249104</v>
      </c>
      <c r="AO65" s="135">
        <v>17.38427322249553</v>
      </c>
      <c r="AP65" s="135">
        <v>0.7017484675896207</v>
      </c>
      <c r="AQ65" s="132">
        <v>5.429155E9</v>
      </c>
      <c r="AR65" s="135">
        <v>0.1794488094164272</v>
      </c>
      <c r="AS65" s="135">
        <v>1.185709316059751</v>
      </c>
      <c r="AT65" s="135">
        <v>1.185709316059751</v>
      </c>
      <c r="AU65" s="135">
        <v>0.8226699377921542</v>
      </c>
      <c r="AV65" s="132">
        <v>4.072806041594925E11</v>
      </c>
      <c r="AW65" s="132">
        <v>4.127097591594925E11</v>
      </c>
      <c r="AX65" s="135">
        <v>37.05928938190928</v>
      </c>
      <c r="AY65" s="135">
        <v>9.01401588329506</v>
      </c>
      <c r="AZ65" s="135">
        <v>43.04812626665261</v>
      </c>
      <c r="BA65" s="135">
        <v>13.64121579061776</v>
      </c>
      <c r="BB65" s="135"/>
      <c r="BC65" s="135">
        <v>15.30239100479738</v>
      </c>
    </row>
    <row r="66" ht="15.75" customHeight="1">
      <c r="A66" s="130" t="s">
        <v>23</v>
      </c>
      <c r="B66" s="130">
        <v>2022.0</v>
      </c>
      <c r="C66" s="131">
        <v>81.55000305175781</v>
      </c>
      <c r="D66" s="132">
        <v>1.30557589E11</v>
      </c>
      <c r="E66" s="132">
        <v>9.9095291E10</v>
      </c>
      <c r="F66" s="132">
        <v>3.1538062E10</v>
      </c>
      <c r="G66" s="130">
        <v>21.92</v>
      </c>
      <c r="H66" s="130"/>
      <c r="I66" s="130">
        <v>1.44032275E9</v>
      </c>
      <c r="J66" s="132">
        <v>4.7872144E10</v>
      </c>
      <c r="K66" s="132">
        <v>4.850786E10</v>
      </c>
      <c r="L66" s="132">
        <v>-6.35716E8</v>
      </c>
      <c r="M66" s="133"/>
      <c r="N66" s="132">
        <v>3.4326192E10</v>
      </c>
      <c r="O66" s="132">
        <v>2.16617876E11</v>
      </c>
      <c r="P66" s="132">
        <v>2.37119953E11</v>
      </c>
      <c r="Q66" s="132">
        <v>2.37119953E11</v>
      </c>
      <c r="R66" s="132">
        <v>1.1688948E11</v>
      </c>
      <c r="S66" s="132"/>
      <c r="T66" s="132">
        <v>1.17770911E11</v>
      </c>
      <c r="U66" s="132">
        <v>1.17770911E11</v>
      </c>
      <c r="V66" s="132">
        <v>1.6934324E10</v>
      </c>
      <c r="W66" s="132">
        <v>1.33232417E11</v>
      </c>
      <c r="X66" s="132">
        <v>3.9205753E10</v>
      </c>
      <c r="Y66" s="132">
        <v>3.6470669E10</v>
      </c>
      <c r="Z66" s="132">
        <v>5.1655E7</v>
      </c>
      <c r="AA66" s="132">
        <v>3.6419014E10</v>
      </c>
      <c r="AB66" s="132">
        <v>4.725667E9</v>
      </c>
      <c r="AC66" s="134">
        <v>0.1297582356293336</v>
      </c>
      <c r="AD66" s="130"/>
      <c r="AE66" s="135">
        <v>0.7590159389355757</v>
      </c>
      <c r="AF66" s="135">
        <v>0.2793454542117808</v>
      </c>
      <c r="AG66" s="135">
        <v>0.2415643720258958</v>
      </c>
      <c r="AH66" s="135">
        <v>0.2677916111220368</v>
      </c>
      <c r="AI66" s="135">
        <v>0.1330046737990033</v>
      </c>
      <c r="AJ66" s="136">
        <v>3.173829933833857E10</v>
      </c>
      <c r="AK66" s="135">
        <v>0.2382175453466296</v>
      </c>
      <c r="AL66" s="135"/>
      <c r="AM66" s="135"/>
      <c r="AN66" s="135">
        <v>0.1437903796125004</v>
      </c>
      <c r="AO66" s="135">
        <v>706.043345271513</v>
      </c>
      <c r="AP66" s="135">
        <v>2.864469818812962</v>
      </c>
      <c r="AQ66" s="132">
        <v>-1.7391868E10</v>
      </c>
      <c r="AR66" s="135">
        <v>-0.4436049984807077</v>
      </c>
      <c r="AS66" s="135">
        <v>1.853185385032083</v>
      </c>
      <c r="AT66" s="135">
        <v>1.853185385032083</v>
      </c>
      <c r="AU66" s="135">
        <v>0.2936636556172549</v>
      </c>
      <c r="AV66" s="132">
        <v>1.174583246580162E11</v>
      </c>
      <c r="AW66" s="132">
        <v>1.000664566580162E11</v>
      </c>
      <c r="AX66" s="135">
        <v>3.720346854550995</v>
      </c>
      <c r="AY66" s="135">
        <v>0.8996667720174903</v>
      </c>
      <c r="AZ66" s="135">
        <v>2.453583960183948</v>
      </c>
      <c r="BA66" s="135">
        <v>2.552341148963934</v>
      </c>
      <c r="BB66" s="135"/>
      <c r="BC66" s="135">
        <v>0.9973458102741194</v>
      </c>
    </row>
    <row r="67" ht="15.75" customHeight="1">
      <c r="A67" s="130" t="s">
        <v>23</v>
      </c>
      <c r="B67" s="130">
        <v>2023.0</v>
      </c>
      <c r="C67" s="131">
        <v>146.3099975585938</v>
      </c>
      <c r="D67" s="132">
        <v>2.47639205E11</v>
      </c>
      <c r="E67" s="132">
        <v>1.55915628E11</v>
      </c>
      <c r="F67" s="132">
        <v>6.0026544E10</v>
      </c>
      <c r="G67" s="130">
        <v>41.16</v>
      </c>
      <c r="H67" s="130"/>
      <c r="I67" s="130">
        <v>1.4599075E9</v>
      </c>
      <c r="J67" s="132">
        <v>9.3578652E10</v>
      </c>
      <c r="K67" s="132">
        <v>9.4162531E10</v>
      </c>
      <c r="L67" s="132">
        <v>-5.83879E8</v>
      </c>
      <c r="M67" s="133"/>
      <c r="N67" s="132">
        <v>5.9794469E10</v>
      </c>
      <c r="O67" s="132">
        <v>2.94750472E11</v>
      </c>
      <c r="P67" s="132">
        <v>3.4807812E11</v>
      </c>
      <c r="Q67" s="132">
        <v>2.925990365E11</v>
      </c>
      <c r="R67" s="132">
        <v>1.52900901E11</v>
      </c>
      <c r="S67" s="132"/>
      <c r="T67" s="132">
        <v>1.87241607E11</v>
      </c>
      <c r="U67" s="132">
        <v>1.52506259E11</v>
      </c>
      <c r="V67" s="132">
        <v>1.0165901E10</v>
      </c>
      <c r="W67" s="132">
        <v>1.931217E11</v>
      </c>
      <c r="X67" s="132">
        <v>7.3813347E10</v>
      </c>
      <c r="Y67" s="132">
        <v>7.1925142E10</v>
      </c>
      <c r="Z67" s="132">
        <v>4.3987E7</v>
      </c>
      <c r="AA67" s="132">
        <v>7.1881155E10</v>
      </c>
      <c r="AB67" s="132">
        <v>1.1849904E10</v>
      </c>
      <c r="AC67" s="134">
        <v>0.1648541123191468</v>
      </c>
      <c r="AD67" s="130"/>
      <c r="AE67" s="135">
        <v>0.6296080138037917</v>
      </c>
      <c r="AF67" s="135">
        <v>0.2904432761363452</v>
      </c>
      <c r="AG67" s="135">
        <v>0.24239515709962</v>
      </c>
      <c r="AH67" s="135">
        <v>0.3936005275691669</v>
      </c>
      <c r="AI67" s="135">
        <v>0.2051494930332759</v>
      </c>
      <c r="AJ67" s="136">
        <v>6.006798656216142E10</v>
      </c>
      <c r="AK67" s="135">
        <v>0.311036960435629</v>
      </c>
      <c r="AL67" s="135"/>
      <c r="AM67" s="135"/>
      <c r="AN67" s="135">
        <v>0.05429295957708801</v>
      </c>
      <c r="AO67" s="135">
        <v>1635.145429331393</v>
      </c>
      <c r="AP67" s="135">
        <v>9.262585874090256</v>
      </c>
      <c r="AQ67" s="132">
        <v>-4.9628568E10</v>
      </c>
      <c r="AR67" s="135">
        <v>-0.6723522237787158</v>
      </c>
      <c r="AS67" s="135">
        <v>1.927722270256602</v>
      </c>
      <c r="AT67" s="135">
        <v>1.927722270256602</v>
      </c>
      <c r="AU67" s="135">
        <v>0.3910668191549767</v>
      </c>
      <c r="AV67" s="132">
        <v>2.135990627607727E11</v>
      </c>
      <c r="AW67" s="132">
        <v>1.639704947607727E11</v>
      </c>
      <c r="AX67" s="135">
        <v>3.55466466371705</v>
      </c>
      <c r="AY67" s="135">
        <v>0.8625413845952732</v>
      </c>
      <c r="AZ67" s="135">
        <v>2.282561868499374</v>
      </c>
      <c r="BA67" s="135">
        <v>2.221420670177342</v>
      </c>
      <c r="BB67" s="135"/>
      <c r="BC67" s="135">
        <v>1.140767087951626</v>
      </c>
    </row>
    <row r="68" ht="15.75" customHeight="1">
      <c r="A68" s="130" t="s">
        <v>23</v>
      </c>
      <c r="B68" s="130">
        <v>2024.0</v>
      </c>
      <c r="C68" s="131">
        <v>96.98999786376953</v>
      </c>
      <c r="D68" s="132">
        <v>3.93836097E11</v>
      </c>
      <c r="E68" s="132">
        <v>2.39935723E11</v>
      </c>
      <c r="F68" s="132">
        <v>1.12434512E11</v>
      </c>
      <c r="G68" s="130">
        <v>76.0</v>
      </c>
      <c r="H68" s="130"/>
      <c r="I68" s="130">
        <v>1.479148E9</v>
      </c>
      <c r="J68" s="132">
        <v>1.20962155E11</v>
      </c>
      <c r="K68" s="132">
        <v>1.21929292E11</v>
      </c>
      <c r="L68" s="132">
        <v>-9.67137E8</v>
      </c>
      <c r="M68" s="133"/>
      <c r="N68" s="132">
        <v>5.7768053E10</v>
      </c>
      <c r="O68" s="132">
        <v>4.15648232E11</v>
      </c>
      <c r="P68" s="132">
        <v>5.05034316E11</v>
      </c>
      <c r="Q68" s="132">
        <v>4.26556218E11</v>
      </c>
      <c r="R68" s="132">
        <v>1.88422853E11</v>
      </c>
      <c r="S68" s="132"/>
      <c r="T68" s="132">
        <v>3.13313124E11</v>
      </c>
      <c r="U68" s="132">
        <v>2.502773655E11</v>
      </c>
      <c r="V68" s="132">
        <v>1.060714E10</v>
      </c>
      <c r="W68" s="132">
        <v>3.18622721E11</v>
      </c>
      <c r="X68" s="132">
        <v>1.35324955E11</v>
      </c>
      <c r="Y68" s="132">
        <v>1.32684068E11</v>
      </c>
      <c r="Z68" s="132">
        <v>0.0</v>
      </c>
      <c r="AA68" s="132">
        <v>1.32684068E11</v>
      </c>
      <c r="AB68" s="132">
        <v>2.0266781E10</v>
      </c>
      <c r="AC68" s="134">
        <v>0.152744646026379</v>
      </c>
      <c r="AD68" s="130"/>
      <c r="AE68" s="135">
        <v>0.6092273532763555</v>
      </c>
      <c r="AF68" s="135">
        <v>0.3369017441791274</v>
      </c>
      <c r="AG68" s="135">
        <v>0.2854855429871884</v>
      </c>
      <c r="AH68" s="135">
        <v>0.4492396336975187</v>
      </c>
      <c r="AI68" s="135">
        <v>0.2635866206034301</v>
      </c>
      <c r="AJ68" s="136">
        <v>1.12417287E11</v>
      </c>
      <c r="AK68" s="135">
        <v>0.3528225691098784</v>
      </c>
      <c r="AL68" s="135"/>
      <c r="AM68" s="135"/>
      <c r="AN68" s="135">
        <v>0.03385475802794651</v>
      </c>
      <c r="AO68" s="135"/>
      <c r="AP68" s="135">
        <v>11.49502052391125</v>
      </c>
      <c r="AQ68" s="132">
        <v>-4.7160913E10</v>
      </c>
      <c r="AR68" s="135">
        <v>-0.3485012280255331</v>
      </c>
      <c r="AS68" s="135">
        <v>2.20593322615702</v>
      </c>
      <c r="AT68" s="135">
        <v>2.20593322615702</v>
      </c>
      <c r="AU68" s="135">
        <v>0.3065872959688176</v>
      </c>
      <c r="AV68" s="132">
        <v>1.43462561360199E11</v>
      </c>
      <c r="AW68" s="132">
        <v>9.630164836019897E10</v>
      </c>
      <c r="AX68" s="135">
        <v>1.27618418241802</v>
      </c>
      <c r="AY68" s="135">
        <v>0.3642697113164794</v>
      </c>
      <c r="AZ68" s="135">
        <v>1.186011950268239</v>
      </c>
      <c r="BA68" s="135">
        <v>0.7116325910487018</v>
      </c>
      <c r="BB68" s="135"/>
      <c r="BC68" s="135">
        <v>0.457888771235127</v>
      </c>
    </row>
    <row r="69" ht="15.75" customHeight="1">
      <c r="A69" s="130" t="s">
        <v>23</v>
      </c>
      <c r="B69" s="130">
        <v>2025.0</v>
      </c>
      <c r="C69" s="131">
        <v>113.3899993896484</v>
      </c>
      <c r="D69" s="132">
        <v>4.31845713E11</v>
      </c>
      <c r="E69" s="132">
        <v>2.4304396E11</v>
      </c>
      <c r="F69" s="132">
        <v>9.7842539E10</v>
      </c>
      <c r="G69" s="130">
        <v>66.0</v>
      </c>
      <c r="H69" s="130"/>
      <c r="I69" s="130">
        <v>1.482394E9</v>
      </c>
      <c r="J69" s="132">
        <v>1.05793613E11</v>
      </c>
      <c r="K69" s="132">
        <v>1.0693869E11</v>
      </c>
      <c r="L69" s="132">
        <v>-1.145077E9</v>
      </c>
      <c r="M69" s="133"/>
      <c r="N69" s="132">
        <v>1.08900587E11</v>
      </c>
      <c r="O69" s="132">
        <v>5.18979892E11</v>
      </c>
      <c r="P69" s="132">
        <v>6.30044327E11</v>
      </c>
      <c r="Q69" s="132">
        <v>5.675393215E11</v>
      </c>
      <c r="R69" s="132">
        <v>2.13737168E11</v>
      </c>
      <c r="S69" s="132"/>
      <c r="T69" s="132">
        <v>4.13385156E11</v>
      </c>
      <c r="U69" s="132">
        <v>3.6334914E11</v>
      </c>
      <c r="V69" s="132">
        <v>5.378795E9</v>
      </c>
      <c r="W69" s="132">
        <v>4.13385156E11</v>
      </c>
      <c r="X69" s="132">
        <v>1.22446654E11</v>
      </c>
      <c r="Y69" s="132">
        <v>1.1944629E11</v>
      </c>
      <c r="Z69" s="132">
        <v>0.0</v>
      </c>
      <c r="AA69" s="132">
        <v>1.1944629E11</v>
      </c>
      <c r="AB69" s="132">
        <v>2.1732756E10</v>
      </c>
      <c r="AC69" s="134">
        <v>0.1819458436088722</v>
      </c>
      <c r="AD69" s="130"/>
      <c r="AE69" s="135">
        <v>0.5628027619206677</v>
      </c>
      <c r="AF69" s="135">
        <v>0.2765948263564214</v>
      </c>
      <c r="AG69" s="135">
        <v>0.2265682767122896</v>
      </c>
      <c r="AH69" s="135">
        <v>0.2692796768419488</v>
      </c>
      <c r="AI69" s="135">
        <v>0.1723978150824921</v>
      </c>
      <c r="AJ69" s="136">
        <v>9.7713534E10</v>
      </c>
      <c r="AK69" s="135">
        <v>0.2363740753187567</v>
      </c>
      <c r="AL69" s="135"/>
      <c r="AM69" s="135"/>
      <c r="AN69" s="135">
        <v>0.01301158235106052</v>
      </c>
      <c r="AO69" s="135"/>
      <c r="AP69" s="135">
        <v>19.8815329455761</v>
      </c>
      <c r="AQ69" s="132">
        <v>-1.03521792E11</v>
      </c>
      <c r="AR69" s="135">
        <v>-0.8454440249547366</v>
      </c>
      <c r="AS69" s="135">
        <v>2.428121869753603</v>
      </c>
      <c r="AT69" s="135">
        <v>2.428121869753603</v>
      </c>
      <c r="AU69" s="135">
        <v>0.5095070175160176</v>
      </c>
      <c r="AV69" s="132">
        <v>1.680886547552185E11</v>
      </c>
      <c r="AW69" s="132">
        <v>6.456686275521851E10</v>
      </c>
      <c r="AX69" s="135">
        <v>1.718030293782552</v>
      </c>
      <c r="AY69" s="135">
        <v>0.3892331212171105</v>
      </c>
      <c r="AZ69" s="135">
        <v>1.588835563780381</v>
      </c>
      <c r="BA69" s="135">
        <v>0.5273060606067562</v>
      </c>
      <c r="BB69" s="135"/>
      <c r="BC69" s="135">
        <v>0.4066151198598396</v>
      </c>
    </row>
    <row r="70" ht="15.75" customHeight="1">
      <c r="A70" s="130" t="s">
        <v>16</v>
      </c>
      <c r="B70" s="130">
        <v>2022.0</v>
      </c>
      <c r="C70" s="131">
        <v>162.1813049316406</v>
      </c>
      <c r="D70" s="132">
        <v>8.6392E10</v>
      </c>
      <c r="E70" s="132">
        <v>4.5816E10</v>
      </c>
      <c r="F70" s="132">
        <v>8.91E9</v>
      </c>
      <c r="G70" s="130">
        <v>6.42</v>
      </c>
      <c r="H70" s="130">
        <v>4.524999999999999</v>
      </c>
      <c r="I70" s="130">
        <v>1.387E9</v>
      </c>
      <c r="J70" s="132">
        <v>5.604E9</v>
      </c>
      <c r="K70" s="132">
        <v>1.0811E10</v>
      </c>
      <c r="L70" s="132">
        <v>-5.207E9</v>
      </c>
      <c r="M70" s="133">
        <v>6.172E9</v>
      </c>
      <c r="N70" s="132">
        <v>4.954E9</v>
      </c>
      <c r="O70" s="132">
        <v>2.1539E10</v>
      </c>
      <c r="P70" s="132">
        <v>9.2187E10</v>
      </c>
      <c r="Q70" s="132">
        <v>9.2187E10</v>
      </c>
      <c r="R70" s="132">
        <v>2.6785E10</v>
      </c>
      <c r="S70" s="132">
        <v>5.222E9</v>
      </c>
      <c r="T70" s="132">
        <v>1.7149E10</v>
      </c>
      <c r="U70" s="132">
        <v>1.7149E10</v>
      </c>
      <c r="V70" s="132">
        <v>3.9554E10</v>
      </c>
      <c r="W70" s="132">
        <v>5.622E10</v>
      </c>
      <c r="X70" s="132">
        <v>1.4924E10</v>
      </c>
      <c r="Y70" s="132">
        <v>1.1644E10</v>
      </c>
      <c r="Z70" s="132">
        <v>9.39E8</v>
      </c>
      <c r="AA70" s="132">
        <v>1.0705E10</v>
      </c>
      <c r="AB70" s="132">
        <v>1.727E9</v>
      </c>
      <c r="AC70" s="134">
        <v>0.1613264829518916</v>
      </c>
      <c r="AD70" s="130"/>
      <c r="AE70" s="135">
        <v>0.5303268821187147</v>
      </c>
      <c r="AF70" s="135">
        <v>0.1347809982405778</v>
      </c>
      <c r="AG70" s="135">
        <v>0.1031345494953236</v>
      </c>
      <c r="AH70" s="135">
        <v>0.5195638229634381</v>
      </c>
      <c r="AI70" s="135">
        <v>0.09665137166845651</v>
      </c>
      <c r="AJ70" s="136">
        <v>9.765514432508173E9</v>
      </c>
      <c r="AK70" s="135">
        <v>0.1737017864195691</v>
      </c>
      <c r="AL70" s="135">
        <v>0.6927048260381594</v>
      </c>
      <c r="AM70" s="135">
        <v>1.101356174161313</v>
      </c>
      <c r="AN70" s="135">
        <v>2.30649017435419</v>
      </c>
      <c r="AO70" s="135">
        <v>12.40042598509052</v>
      </c>
      <c r="AP70" s="135">
        <v>0.2733225463922739</v>
      </c>
      <c r="AQ70" s="132">
        <v>3.46E10</v>
      </c>
      <c r="AR70" s="135">
        <v>2.31841329402305</v>
      </c>
      <c r="AS70" s="135">
        <v>0.8041441105096135</v>
      </c>
      <c r="AT70" s="135">
        <v>0.6091842449131977</v>
      </c>
      <c r="AU70" s="135">
        <v>0.1849542654470786</v>
      </c>
      <c r="AV70" s="132">
        <v>2.249454699401855E11</v>
      </c>
      <c r="AW70" s="132">
        <v>2.595454699401855E11</v>
      </c>
      <c r="AX70" s="135">
        <v>25.26188550337081</v>
      </c>
      <c r="AY70" s="135">
        <v>2.603776622143087</v>
      </c>
      <c r="AZ70" s="135">
        <v>40.14016237333789</v>
      </c>
      <c r="BA70" s="135">
        <v>17.39114647146781</v>
      </c>
      <c r="BB70" s="135">
        <v>0.02790087305011688</v>
      </c>
      <c r="BC70" s="135">
        <v>13.11711877894837</v>
      </c>
    </row>
    <row r="71" ht="15.75" customHeight="1">
      <c r="A71" s="130" t="s">
        <v>16</v>
      </c>
      <c r="B71" s="130">
        <v>2023.0</v>
      </c>
      <c r="C71" s="131">
        <v>156.8449401855469</v>
      </c>
      <c r="D71" s="132">
        <v>9.1471E10</v>
      </c>
      <c r="E71" s="132">
        <v>4.959E10</v>
      </c>
      <c r="F71" s="132">
        <v>9.074E9</v>
      </c>
      <c r="G71" s="130">
        <v>6.56</v>
      </c>
      <c r="H71" s="130">
        <v>4.944999999999999</v>
      </c>
      <c r="I71" s="130">
        <v>1.383E9</v>
      </c>
      <c r="J71" s="132">
        <v>7.924E9</v>
      </c>
      <c r="K71" s="132">
        <v>1.3442E10</v>
      </c>
      <c r="L71" s="132">
        <v>-5.518E9</v>
      </c>
      <c r="M71" s="133">
        <v>6.682E9</v>
      </c>
      <c r="N71" s="132">
        <v>9.711E9</v>
      </c>
      <c r="O71" s="132">
        <v>2.695E10</v>
      </c>
      <c r="P71" s="132">
        <v>1.00495E11</v>
      </c>
      <c r="Q71" s="132">
        <v>9.6341E10</v>
      </c>
      <c r="R71" s="132">
        <v>3.1647E10</v>
      </c>
      <c r="S71" s="132">
        <v>5.334E9</v>
      </c>
      <c r="T71" s="132">
        <v>1.8503E10</v>
      </c>
      <c r="U71" s="132">
        <v>1.7826E10</v>
      </c>
      <c r="V71" s="132">
        <v>4.4661E10</v>
      </c>
      <c r="W71" s="132">
        <v>6.2608E10</v>
      </c>
      <c r="X71" s="132">
        <v>1.5754E10</v>
      </c>
      <c r="Y71" s="132">
        <v>1.2236E10</v>
      </c>
      <c r="Z71" s="132">
        <v>8.19E8</v>
      </c>
      <c r="AA71" s="132">
        <v>1.1417E10</v>
      </c>
      <c r="AB71" s="132">
        <v>2.262E9</v>
      </c>
      <c r="AC71" s="134">
        <v>0.1981256021721993</v>
      </c>
      <c r="AD71" s="130"/>
      <c r="AE71" s="135">
        <v>0.5421390386023985</v>
      </c>
      <c r="AF71" s="135">
        <v>0.1337691727432738</v>
      </c>
      <c r="AG71" s="135">
        <v>0.09920083961036831</v>
      </c>
      <c r="AH71" s="135">
        <v>0.5090317513743969</v>
      </c>
      <c r="AI71" s="135">
        <v>0.0941862758327192</v>
      </c>
      <c r="AJ71" s="136">
        <v>9.811735131820969E9</v>
      </c>
      <c r="AK71" s="135">
        <v>0.1567169552105317</v>
      </c>
      <c r="AL71" s="135">
        <v>0.7363896848137536</v>
      </c>
      <c r="AM71" s="135">
        <v>0.8432609793033822</v>
      </c>
      <c r="AN71" s="135">
        <v>2.413716694590066</v>
      </c>
      <c r="AO71" s="135">
        <v>14.94017094017094</v>
      </c>
      <c r="AP71" s="135">
        <v>0.3009784823447751</v>
      </c>
      <c r="AQ71" s="132">
        <v>3.495E10</v>
      </c>
      <c r="AR71" s="135">
        <v>2.218484194490288</v>
      </c>
      <c r="AS71" s="135">
        <v>0.851581508515815</v>
      </c>
      <c r="AT71" s="135">
        <v>0.6830347268303473</v>
      </c>
      <c r="AU71" s="135">
        <v>0.3068537302113944</v>
      </c>
      <c r="AV71" s="132">
        <v>2.169165522766113E11</v>
      </c>
      <c r="AW71" s="132">
        <v>2.518665522766113E11</v>
      </c>
      <c r="AX71" s="135">
        <v>23.90928966243093</v>
      </c>
      <c r="AY71" s="135">
        <v>2.371424301435551</v>
      </c>
      <c r="AZ71" s="135">
        <v>27.37462800058194</v>
      </c>
      <c r="BA71" s="135">
        <v>15.98746681964018</v>
      </c>
      <c r="BB71" s="135">
        <v>0.03152795362190253</v>
      </c>
      <c r="BC71" s="135">
        <v>11.72331796339033</v>
      </c>
    </row>
    <row r="72" ht="15.75" customHeight="1">
      <c r="A72" s="130" t="s">
        <v>16</v>
      </c>
      <c r="B72" s="130">
        <v>2024.0</v>
      </c>
      <c r="C72" s="131">
        <v>144.9222106933594</v>
      </c>
      <c r="D72" s="132">
        <v>9.1854E10</v>
      </c>
      <c r="E72" s="132">
        <v>5.011E10</v>
      </c>
      <c r="F72" s="132">
        <v>9.578E9</v>
      </c>
      <c r="G72" s="130">
        <v>6.95</v>
      </c>
      <c r="H72" s="130">
        <v>5.33</v>
      </c>
      <c r="I72" s="130">
        <v>1.378E9</v>
      </c>
      <c r="J72" s="132">
        <v>7.189E9</v>
      </c>
      <c r="K72" s="132">
        <v>1.2507E10</v>
      </c>
      <c r="L72" s="132">
        <v>-5.318E9</v>
      </c>
      <c r="M72" s="133">
        <v>7.229E9</v>
      </c>
      <c r="N72" s="132">
        <v>8.505E9</v>
      </c>
      <c r="O72" s="132">
        <v>2.5826E10</v>
      </c>
      <c r="P72" s="132">
        <v>9.9467E10</v>
      </c>
      <c r="Q72" s="132">
        <v>9.9981E10</v>
      </c>
      <c r="R72" s="132">
        <v>3.1536E10</v>
      </c>
      <c r="S72" s="132">
        <v>5.306E9</v>
      </c>
      <c r="T72" s="132">
        <v>1.8041E10</v>
      </c>
      <c r="U72" s="132">
        <v>1.8272E10</v>
      </c>
      <c r="V72" s="132">
        <v>4.4948E10</v>
      </c>
      <c r="W72" s="132">
        <v>6.2347E10</v>
      </c>
      <c r="X72" s="132">
        <v>1.668E10</v>
      </c>
      <c r="Y72" s="132">
        <v>1.2865E10</v>
      </c>
      <c r="Z72" s="132">
        <v>9.19E8</v>
      </c>
      <c r="AA72" s="132">
        <v>1.1946E10</v>
      </c>
      <c r="AB72" s="132">
        <v>2.32E9</v>
      </c>
      <c r="AC72" s="134">
        <v>0.1942072660304704</v>
      </c>
      <c r="AD72" s="130"/>
      <c r="AE72" s="135">
        <v>0.5455396607659982</v>
      </c>
      <c r="AF72" s="135">
        <v>0.1400592244213643</v>
      </c>
      <c r="AG72" s="135">
        <v>0.104274174233022</v>
      </c>
      <c r="AH72" s="135">
        <v>0.5241900175131349</v>
      </c>
      <c r="AI72" s="135">
        <v>0.09579820165831508</v>
      </c>
      <c r="AJ72" s="136">
        <v>1.0366523522518E10</v>
      </c>
      <c r="AK72" s="135">
        <v>0.1662714087689544</v>
      </c>
      <c r="AL72" s="135">
        <v>0.7547504698266861</v>
      </c>
      <c r="AM72" s="135">
        <v>1.005564056196968</v>
      </c>
      <c r="AN72" s="135">
        <v>2.491436173161133</v>
      </c>
      <c r="AO72" s="135">
        <v>13.99891186071817</v>
      </c>
      <c r="AP72" s="135">
        <v>0.2782548722968764</v>
      </c>
      <c r="AQ72" s="132">
        <v>3.6443E10</v>
      </c>
      <c r="AR72" s="135">
        <v>2.184832134292566</v>
      </c>
      <c r="AS72" s="135">
        <v>0.8189370877727042</v>
      </c>
      <c r="AT72" s="135">
        <v>0.6506849315068494</v>
      </c>
      <c r="AU72" s="135">
        <v>0.2696917808219178</v>
      </c>
      <c r="AV72" s="132">
        <v>1.997028063354492E11</v>
      </c>
      <c r="AW72" s="132">
        <v>2.361458063354492E11</v>
      </c>
      <c r="AX72" s="135">
        <v>20.85211664652653</v>
      </c>
      <c r="AY72" s="135">
        <v>2.174132931994788</v>
      </c>
      <c r="AZ72" s="135">
        <v>27.77894092856436</v>
      </c>
      <c r="BA72" s="135">
        <v>14.15742244217321</v>
      </c>
      <c r="BB72" s="135">
        <v>0.03677835146524046</v>
      </c>
      <c r="BC72" s="135">
        <v>11.06938674881931</v>
      </c>
    </row>
    <row r="73" ht="15.75" customHeight="1">
      <c r="A73" s="130" t="s">
        <v>16</v>
      </c>
      <c r="B73" s="130">
        <v>2025.0</v>
      </c>
      <c r="C73" s="131">
        <v>142.2491302490234</v>
      </c>
      <c r="D73" s="132">
        <v>9.3925E10</v>
      </c>
      <c r="E73" s="132">
        <v>5.0859E10</v>
      </c>
      <c r="F73" s="132">
        <v>8.24E9</v>
      </c>
      <c r="G73" s="130">
        <v>6.0</v>
      </c>
      <c r="H73" s="130">
        <v>5.624000000000001</v>
      </c>
      <c r="I73" s="130">
        <v>1.373E9</v>
      </c>
      <c r="J73" s="132">
        <v>7.672E9</v>
      </c>
      <c r="K73" s="132">
        <v>1.2087E10</v>
      </c>
      <c r="L73" s="132">
        <v>-4.415E9</v>
      </c>
      <c r="M73" s="133">
        <v>7.638E9</v>
      </c>
      <c r="N73" s="132">
        <v>9.159E9</v>
      </c>
      <c r="O73" s="132">
        <v>2.7949E10</v>
      </c>
      <c r="P73" s="132">
        <v>1.07399E11</v>
      </c>
      <c r="Q73" s="132">
        <v>1.03433E11</v>
      </c>
      <c r="R73" s="132">
        <v>3.2764E10</v>
      </c>
      <c r="S73" s="132">
        <v>5.845E9</v>
      </c>
      <c r="T73" s="132">
        <v>2.0406E10</v>
      </c>
      <c r="U73" s="132">
        <v>1.92235E10</v>
      </c>
      <c r="V73" s="132">
        <v>4.9901E10</v>
      </c>
      <c r="W73" s="132">
        <v>6.9588E10</v>
      </c>
      <c r="X73" s="132">
        <v>1.5543E10</v>
      </c>
      <c r="Y73" s="132">
        <v>1.1365E10</v>
      </c>
      <c r="Z73" s="132">
        <v>1.121E9</v>
      </c>
      <c r="AA73" s="132">
        <v>1.0244E10</v>
      </c>
      <c r="AB73" s="132">
        <v>1.949E9</v>
      </c>
      <c r="AC73" s="134">
        <v>0.1902577118313159</v>
      </c>
      <c r="AD73" s="130"/>
      <c r="AE73" s="135">
        <v>0.541485227575193</v>
      </c>
      <c r="AF73" s="135">
        <v>0.121000798509449</v>
      </c>
      <c r="AG73" s="135">
        <v>0.08772957146659568</v>
      </c>
      <c r="AH73" s="135">
        <v>0.4286420266860874</v>
      </c>
      <c r="AI73" s="135">
        <v>0.07966509721268841</v>
      </c>
      <c r="AJ73" s="136">
        <v>9.202721105037094E9</v>
      </c>
      <c r="AK73" s="135">
        <v>0.1322458053836451</v>
      </c>
      <c r="AL73" s="135">
        <v>0.9269417475728156</v>
      </c>
      <c r="AM73" s="135">
        <v>0.9955683003128258</v>
      </c>
      <c r="AN73" s="135">
        <v>2.445408213270607</v>
      </c>
      <c r="AO73" s="135">
        <v>10.13826940231936</v>
      </c>
      <c r="AP73" s="135">
        <v>0.2422195947976994</v>
      </c>
      <c r="AQ73" s="132">
        <v>4.0742E10</v>
      </c>
      <c r="AR73" s="135">
        <v>2.621244290034099</v>
      </c>
      <c r="AS73" s="135">
        <v>0.8530399218654621</v>
      </c>
      <c r="AT73" s="135">
        <v>0.6746429007447198</v>
      </c>
      <c r="AU73" s="135">
        <v>0.2795446221462581</v>
      </c>
      <c r="AV73" s="132">
        <v>1.953080558319092E11</v>
      </c>
      <c r="AW73" s="132">
        <v>2.360500558319092E11</v>
      </c>
      <c r="AX73" s="135">
        <v>23.70818837483724</v>
      </c>
      <c r="AY73" s="135">
        <v>2.079404374042153</v>
      </c>
      <c r="AZ73" s="135">
        <v>25.45725440979004</v>
      </c>
      <c r="BA73" s="135">
        <v>15.18690444778416</v>
      </c>
      <c r="BB73" s="135">
        <v>0.03953626985384404</v>
      </c>
      <c r="BC73" s="135">
        <v>9.571109273346524</v>
      </c>
    </row>
    <row r="74" ht="15.75" customHeight="1">
      <c r="A74" s="130" t="s">
        <v>15</v>
      </c>
      <c r="B74" s="130">
        <v>2022.0</v>
      </c>
      <c r="C74" s="131">
        <v>715.5797729492188</v>
      </c>
      <c r="D74" s="132">
        <v>1.21729E10</v>
      </c>
      <c r="E74" s="132">
        <v>1.06125E10</v>
      </c>
      <c r="F74" s="132">
        <v>4.3384E9</v>
      </c>
      <c r="G74" s="130">
        <v>38.22</v>
      </c>
      <c r="H74" s="130"/>
      <c r="I74" s="130">
        <v>1.135E8</v>
      </c>
      <c r="J74" s="132">
        <v>3.398E9</v>
      </c>
      <c r="K74" s="132">
        <v>5.0149E9</v>
      </c>
      <c r="L74" s="132">
        <v>-1.6169E9</v>
      </c>
      <c r="M74" s="133"/>
      <c r="N74" s="132">
        <v>3.1059E9</v>
      </c>
      <c r="O74" s="132">
        <v>1.58841E10</v>
      </c>
      <c r="P74" s="132">
        <v>2.92145E10</v>
      </c>
      <c r="Q74" s="132">
        <v>2.92145E10</v>
      </c>
      <c r="R74" s="132">
        <v>3.1413E9</v>
      </c>
      <c r="S74" s="132">
        <v>2.4019E9</v>
      </c>
      <c r="T74" s="132">
        <v>2.2664E10</v>
      </c>
      <c r="U74" s="132">
        <v>2.2664E10</v>
      </c>
      <c r="V74" s="132">
        <v>2.7014E9</v>
      </c>
      <c r="W74" s="132">
        <v>2.46454E10</v>
      </c>
      <c r="X74" s="132">
        <v>5.2596E9</v>
      </c>
      <c r="Y74" s="132">
        <v>4.9182E9</v>
      </c>
      <c r="Z74" s="132">
        <v>5.94E7</v>
      </c>
      <c r="AA74" s="132">
        <v>4.8588E9</v>
      </c>
      <c r="AB74" s="132">
        <v>5.204E8</v>
      </c>
      <c r="AC74" s="134">
        <v>0.1071046348892731</v>
      </c>
      <c r="AD74" s="130"/>
      <c r="AE74" s="135">
        <v>0.8718136187761338</v>
      </c>
      <c r="AF74" s="135">
        <v>0.4040286209531007</v>
      </c>
      <c r="AG74" s="135">
        <v>0.3563982288526152</v>
      </c>
      <c r="AH74" s="135">
        <v>0.1914225202965055</v>
      </c>
      <c r="AI74" s="135">
        <v>0.1485016002327611</v>
      </c>
      <c r="AJ74" s="136">
        <v>4.391437984687577E9</v>
      </c>
      <c r="AK74" s="135">
        <v>0.1781848939229056</v>
      </c>
      <c r="AL74" s="135"/>
      <c r="AM74" s="135"/>
      <c r="AN74" s="135">
        <v>0.1191934345217084</v>
      </c>
      <c r="AO74" s="135">
        <v>82.79797979797979</v>
      </c>
      <c r="AP74" s="135">
        <v>1.856407788554083</v>
      </c>
      <c r="AQ74" s="132">
        <v>-4.045E8</v>
      </c>
      <c r="AR74" s="135">
        <v>-0.07690698912464826</v>
      </c>
      <c r="AS74" s="135">
        <v>5.056537102473499</v>
      </c>
      <c r="AT74" s="135">
        <v>4.291917359055168</v>
      </c>
      <c r="AU74" s="135">
        <v>0.9887307802502149</v>
      </c>
      <c r="AV74" s="132">
        <v>8.121830422973633E10</v>
      </c>
      <c r="AW74" s="132">
        <v>8.081380422973633E10</v>
      </c>
      <c r="AX74" s="135">
        <v>18.72265235345941</v>
      </c>
      <c r="AY74" s="135">
        <v>6.672058772333325</v>
      </c>
      <c r="AZ74" s="135">
        <v>23.90179641840386</v>
      </c>
      <c r="BA74" s="135">
        <v>15.36500955010577</v>
      </c>
      <c r="BB74" s="135"/>
      <c r="BC74" s="135">
        <v>3.583582078615263</v>
      </c>
    </row>
    <row r="75" ht="15.75" customHeight="1">
      <c r="A75" s="130" t="s">
        <v>15</v>
      </c>
      <c r="B75" s="130">
        <v>2023.0</v>
      </c>
      <c r="C75" s="131">
        <v>871.0952758789062</v>
      </c>
      <c r="D75" s="132">
        <v>1.31172E10</v>
      </c>
      <c r="E75" s="132">
        <v>1.13014E10</v>
      </c>
      <c r="F75" s="132">
        <v>3.9536E9</v>
      </c>
      <c r="G75" s="130">
        <v>34.77</v>
      </c>
      <c r="H75" s="130">
        <v>0.0</v>
      </c>
      <c r="I75" s="130">
        <v>1.137E8</v>
      </c>
      <c r="J75" s="132">
        <v>3.6676E9</v>
      </c>
      <c r="K75" s="132">
        <v>4.594E9</v>
      </c>
      <c r="L75" s="132">
        <v>-9.264E8</v>
      </c>
      <c r="M75" s="133">
        <v>0.0</v>
      </c>
      <c r="N75" s="132">
        <v>2.73E9</v>
      </c>
      <c r="O75" s="132">
        <v>1.94792E10</v>
      </c>
      <c r="P75" s="132">
        <v>3.30802E10</v>
      </c>
      <c r="Q75" s="132">
        <v>3.114735E10</v>
      </c>
      <c r="R75" s="132">
        <v>3.4234E9</v>
      </c>
      <c r="S75" s="132">
        <v>2.5805E9</v>
      </c>
      <c r="T75" s="132">
        <v>2.59731E10</v>
      </c>
      <c r="U75" s="132">
        <v>2.431855E10</v>
      </c>
      <c r="V75" s="132">
        <v>2.7029E9</v>
      </c>
      <c r="W75" s="132">
        <v>2.7956E10</v>
      </c>
      <c r="X75" s="132">
        <v>4.6933E9</v>
      </c>
      <c r="Y75" s="132">
        <v>4.2723E9</v>
      </c>
      <c r="Z75" s="132">
        <v>7.3E7</v>
      </c>
      <c r="AA75" s="132">
        <v>4.1993E9</v>
      </c>
      <c r="AB75" s="132">
        <v>2.457E8</v>
      </c>
      <c r="AC75" s="134">
        <v>0.05850975162527088</v>
      </c>
      <c r="AD75" s="130"/>
      <c r="AE75" s="135">
        <v>0.8615710669960053</v>
      </c>
      <c r="AF75" s="135">
        <v>0.3257021315524655</v>
      </c>
      <c r="AG75" s="135">
        <v>0.3014057878205715</v>
      </c>
      <c r="AH75" s="135">
        <v>0.1625754825020406</v>
      </c>
      <c r="AI75" s="135">
        <v>0.1269321467155312</v>
      </c>
      <c r="AJ75" s="136">
        <v>4.022328788131355E9</v>
      </c>
      <c r="AK75" s="135">
        <v>0.1438806978155442</v>
      </c>
      <c r="AL75" s="135">
        <v>0.0</v>
      </c>
      <c r="AM75" s="135">
        <v>0.0</v>
      </c>
      <c r="AN75" s="135">
        <v>0.1040653599300815</v>
      </c>
      <c r="AO75" s="135">
        <v>58.52465753424657</v>
      </c>
      <c r="AP75" s="135">
        <v>1.699655925117466</v>
      </c>
      <c r="AQ75" s="132">
        <v>-2.71E7</v>
      </c>
      <c r="AR75" s="135">
        <v>-0.005774188737135917</v>
      </c>
      <c r="AS75" s="135">
        <v>5.690015773792137</v>
      </c>
      <c r="AT75" s="135">
        <v>4.936232984752001</v>
      </c>
      <c r="AU75" s="135">
        <v>0.7974528246772215</v>
      </c>
      <c r="AV75" s="132">
        <v>9.904353286743164E10</v>
      </c>
      <c r="AW75" s="132">
        <v>9.901643286743164E10</v>
      </c>
      <c r="AX75" s="135">
        <v>25.05307091972695</v>
      </c>
      <c r="AY75" s="135">
        <v>7.550661182831065</v>
      </c>
      <c r="AZ75" s="135">
        <v>27.00499860056485</v>
      </c>
      <c r="BA75" s="135">
        <v>21.0974011606826</v>
      </c>
      <c r="BB75" s="135">
        <v>0.0</v>
      </c>
      <c r="BC75" s="135">
        <v>3.813311959967491</v>
      </c>
    </row>
    <row r="76" ht="15.75" customHeight="1">
      <c r="A76" s="130" t="s">
        <v>15</v>
      </c>
      <c r="B76" s="130">
        <v>2024.0</v>
      </c>
      <c r="C76" s="131">
        <v>706.4948120117188</v>
      </c>
      <c r="D76" s="132">
        <v>1.4202E10</v>
      </c>
      <c r="E76" s="132">
        <v>1.22315E10</v>
      </c>
      <c r="F76" s="132">
        <v>4.4126E9</v>
      </c>
      <c r="G76" s="130">
        <v>38.34</v>
      </c>
      <c r="H76" s="130">
        <v>0.0</v>
      </c>
      <c r="I76" s="130">
        <v>1.151E8</v>
      </c>
      <c r="J76" s="132">
        <v>3.5389E9</v>
      </c>
      <c r="K76" s="132">
        <v>4.4205E9</v>
      </c>
      <c r="L76" s="132">
        <v>-8.816E8</v>
      </c>
      <c r="M76" s="133">
        <v>0.0</v>
      </c>
      <c r="N76" s="132">
        <v>2.4882E9</v>
      </c>
      <c r="O76" s="132">
        <v>1.86609E10</v>
      </c>
      <c r="P76" s="132">
        <v>3.77594E10</v>
      </c>
      <c r="Q76" s="132">
        <v>3.54198E10</v>
      </c>
      <c r="R76" s="132">
        <v>3.9443E9</v>
      </c>
      <c r="S76" s="132">
        <v>3.0873E9</v>
      </c>
      <c r="T76" s="132">
        <v>2.93536E10</v>
      </c>
      <c r="U76" s="132">
        <v>2.766335E10</v>
      </c>
      <c r="V76" s="132">
        <v>2.7044E9</v>
      </c>
      <c r="W76" s="132">
        <v>3.1338E10</v>
      </c>
      <c r="X76" s="132">
        <v>5.318E9</v>
      </c>
      <c r="Y76" s="132">
        <v>4.8351E9</v>
      </c>
      <c r="Z76" s="132">
        <v>5.52E7</v>
      </c>
      <c r="AA76" s="132">
        <v>4.7799E9</v>
      </c>
      <c r="AB76" s="132">
        <v>3.673E8</v>
      </c>
      <c r="AC76" s="134">
        <v>0.07684261177012071</v>
      </c>
      <c r="AD76" s="130"/>
      <c r="AE76" s="135">
        <v>0.8612519363469934</v>
      </c>
      <c r="AF76" s="135">
        <v>0.3404520490071821</v>
      </c>
      <c r="AG76" s="135">
        <v>0.3107027179270525</v>
      </c>
      <c r="AH76" s="135">
        <v>0.1595106883295046</v>
      </c>
      <c r="AI76" s="135">
        <v>0.12458003715436</v>
      </c>
      <c r="AJ76" s="136">
        <v>4.463558287830289E9</v>
      </c>
      <c r="AK76" s="135">
        <v>0.1424327745175279</v>
      </c>
      <c r="AL76" s="135">
        <v>0.0</v>
      </c>
      <c r="AM76" s="135">
        <v>0.0</v>
      </c>
      <c r="AN76" s="135">
        <v>0.09213179984737818</v>
      </c>
      <c r="AO76" s="135">
        <v>87.59239130434783</v>
      </c>
      <c r="AP76" s="135">
        <v>1.634558497263718</v>
      </c>
      <c r="AQ76" s="132">
        <v>2.162E8</v>
      </c>
      <c r="AR76" s="135">
        <v>0.04065438134637082</v>
      </c>
      <c r="AS76" s="135">
        <v>4.731105646122252</v>
      </c>
      <c r="AT76" s="135">
        <v>3.948381208325939</v>
      </c>
      <c r="AU76" s="135">
        <v>0.6308343685825115</v>
      </c>
      <c r="AV76" s="132">
        <v>8.131755286254883E10</v>
      </c>
      <c r="AW76" s="132">
        <v>8.153375286254883E10</v>
      </c>
      <c r="AX76" s="135">
        <v>18.42709473165672</v>
      </c>
      <c r="AY76" s="135">
        <v>5.725781781618704</v>
      </c>
      <c r="AZ76" s="135">
        <v>22.97820024938507</v>
      </c>
      <c r="BA76" s="135">
        <v>15.33165717610922</v>
      </c>
      <c r="BB76" s="135">
        <v>0.0</v>
      </c>
      <c r="BC76" s="135">
        <v>2.770275293747575</v>
      </c>
    </row>
    <row r="77" ht="15.75" customHeight="1">
      <c r="A77" s="130" t="s">
        <v>15</v>
      </c>
      <c r="B77" s="130">
        <v>2025.0</v>
      </c>
      <c r="C77" s="131">
        <v>769.7928466796875</v>
      </c>
      <c r="D77" s="132">
        <v>1.43429E10</v>
      </c>
      <c r="E77" s="132">
        <v>1.22422E10</v>
      </c>
      <c r="F77" s="132">
        <v>4.5049E9</v>
      </c>
      <c r="G77" s="130">
        <v>41.48</v>
      </c>
      <c r="H77" s="130">
        <v>3.52</v>
      </c>
      <c r="I77" s="130">
        <v>1.086E8</v>
      </c>
      <c r="J77" s="132">
        <v>3.7652E9</v>
      </c>
      <c r="K77" s="132">
        <v>4.9789E9</v>
      </c>
      <c r="L77" s="132">
        <v>-1.2137E9</v>
      </c>
      <c r="M77" s="133">
        <v>3.703E8</v>
      </c>
      <c r="N77" s="132">
        <v>3.1181E9</v>
      </c>
      <c r="O77" s="132">
        <v>1.80219E10</v>
      </c>
      <c r="P77" s="132">
        <v>4.05587E10</v>
      </c>
      <c r="Q77" s="132">
        <v>3.915905E10</v>
      </c>
      <c r="R77" s="132">
        <v>4.3684E9</v>
      </c>
      <c r="S77" s="132">
        <v>3.2008E9</v>
      </c>
      <c r="T77" s="132">
        <v>3.12569E10</v>
      </c>
      <c r="U77" s="132">
        <v>3.030525E10</v>
      </c>
      <c r="V77" s="132">
        <v>2.7059E9</v>
      </c>
      <c r="W77" s="132">
        <v>3.32428E10</v>
      </c>
      <c r="X77" s="132">
        <v>5.8182E9</v>
      </c>
      <c r="Y77" s="132">
        <v>5.2745E9</v>
      </c>
      <c r="Z77" s="132">
        <v>4.38E7</v>
      </c>
      <c r="AA77" s="132">
        <v>5.2307E9</v>
      </c>
      <c r="AB77" s="132">
        <v>7.258E8</v>
      </c>
      <c r="AC77" s="134">
        <v>0.1387577188521613</v>
      </c>
      <c r="AD77" s="130"/>
      <c r="AE77" s="135">
        <v>0.8535372902272205</v>
      </c>
      <c r="AF77" s="135">
        <v>0.367742925070941</v>
      </c>
      <c r="AG77" s="135">
        <v>0.314085714883322</v>
      </c>
      <c r="AH77" s="135">
        <v>0.1486508113280702</v>
      </c>
      <c r="AI77" s="135">
        <v>0.1150410952257524</v>
      </c>
      <c r="AJ77" s="136">
        <v>4.542622411914275E9</v>
      </c>
      <c r="AK77" s="135">
        <v>0.1366498132502158</v>
      </c>
      <c r="AL77" s="135">
        <v>0.0821993828941819</v>
      </c>
      <c r="AM77" s="135">
        <v>0.0983480293211516</v>
      </c>
      <c r="AN77" s="135">
        <v>0.0865696854134607</v>
      </c>
      <c r="AO77" s="135">
        <v>120.4223744292238</v>
      </c>
      <c r="AP77" s="135">
        <v>1.840016260763517</v>
      </c>
      <c r="AQ77" s="132">
        <v>-4.122E8</v>
      </c>
      <c r="AR77" s="135">
        <v>-0.07084665360420749</v>
      </c>
      <c r="AS77" s="135">
        <v>4.125515062723194</v>
      </c>
      <c r="AT77" s="135">
        <v>3.392798278545921</v>
      </c>
      <c r="AU77" s="135">
        <v>0.713785367640326</v>
      </c>
      <c r="AV77" s="132">
        <v>8.359950314941406E10</v>
      </c>
      <c r="AW77" s="132">
        <v>8.318730314941406E10</v>
      </c>
      <c r="AX77" s="135">
        <v>18.55816891706094</v>
      </c>
      <c r="AY77" s="135">
        <v>5.828633201752369</v>
      </c>
      <c r="AZ77" s="135">
        <v>22.20320385355733</v>
      </c>
      <c r="BA77" s="135">
        <v>14.29777304826477</v>
      </c>
      <c r="BB77" s="135">
        <v>0.004572658755121792</v>
      </c>
      <c r="BC77" s="135">
        <v>2.674593550525294</v>
      </c>
    </row>
    <row r="78" ht="15.75" customHeight="1">
      <c r="A78" s="130" t="s">
        <v>24</v>
      </c>
      <c r="B78" s="130">
        <v>2022.0</v>
      </c>
      <c r="C78" s="131">
        <v>133.8811492919922</v>
      </c>
      <c r="D78" s="132">
        <v>7.9571E10</v>
      </c>
      <c r="E78" s="132">
        <v>4.3365E10</v>
      </c>
      <c r="F78" s="132">
        <v>2.59E9</v>
      </c>
      <c r="G78" s="130">
        <v>2.06</v>
      </c>
      <c r="H78" s="130">
        <v>0.0</v>
      </c>
      <c r="I78" s="130">
        <v>1.255376769E9</v>
      </c>
      <c r="J78" s="132">
        <v>-5.2E8</v>
      </c>
      <c r="K78" s="132">
        <v>1.6781E10</v>
      </c>
      <c r="L78" s="132">
        <v>-1.7301E10</v>
      </c>
      <c r="M78" s="133">
        <v>0.0</v>
      </c>
      <c r="N78" s="132">
        <v>4.507E9</v>
      </c>
      <c r="O78" s="132">
        <v>1.9067E10</v>
      </c>
      <c r="P78" s="132">
        <v>2.11338E11</v>
      </c>
      <c r="Q78" s="132">
        <v>2.11338E11</v>
      </c>
      <c r="R78" s="132">
        <v>2.4742E10</v>
      </c>
      <c r="S78" s="132">
        <v>1.884E9</v>
      </c>
      <c r="T78" s="132">
        <v>6.9656E10</v>
      </c>
      <c r="U78" s="132">
        <v>6.9656E10</v>
      </c>
      <c r="V78" s="132">
        <v>1.11792E11</v>
      </c>
      <c r="W78" s="132">
        <v>1.41616E11</v>
      </c>
      <c r="X78" s="132">
        <v>2.0161E10</v>
      </c>
      <c r="Y78" s="132">
        <v>6.51E9</v>
      </c>
      <c r="Z78" s="132">
        <v>3.364E9</v>
      </c>
      <c r="AA78" s="132">
        <v>3.146E9</v>
      </c>
      <c r="AB78" s="132">
        <v>5.56E8</v>
      </c>
      <c r="AC78" s="134">
        <v>0.1767323585505404</v>
      </c>
      <c r="AD78" s="130"/>
      <c r="AE78" s="135">
        <v>0.5449849819657916</v>
      </c>
      <c r="AF78" s="135">
        <v>0.08181372610624474</v>
      </c>
      <c r="AG78" s="135">
        <v>0.03254954694549522</v>
      </c>
      <c r="AH78" s="135">
        <v>0.03718272654186287</v>
      </c>
      <c r="AI78" s="135">
        <v>0.01225524988407196</v>
      </c>
      <c r="AJ78" s="136">
        <v>5.359472345835982E9</v>
      </c>
      <c r="AK78" s="135">
        <v>0.03784510469040209</v>
      </c>
      <c r="AL78" s="135">
        <v>0.0</v>
      </c>
      <c r="AM78" s="135">
        <v>0.0</v>
      </c>
      <c r="AN78" s="135">
        <v>1.604915585161364</v>
      </c>
      <c r="AO78" s="135">
        <v>1.935196195005945</v>
      </c>
      <c r="AP78" s="135">
        <v>0.1501091312437384</v>
      </c>
      <c r="AQ78" s="132">
        <v>1.07285E11</v>
      </c>
      <c r="AR78" s="135">
        <v>5.321412628341848</v>
      </c>
      <c r="AS78" s="135">
        <v>0.7706329318567617</v>
      </c>
      <c r="AT78" s="135">
        <v>0.6944871069436586</v>
      </c>
      <c r="AU78" s="135">
        <v>0.1821598900654757</v>
      </c>
      <c r="AV78" s="132">
        <v>1.680712846281878E11</v>
      </c>
      <c r="AW78" s="132">
        <v>2.753562846281878E11</v>
      </c>
      <c r="AX78" s="135">
        <v>64.99084917086999</v>
      </c>
      <c r="AY78" s="135">
        <v>2.112217825943972</v>
      </c>
      <c r="AZ78" s="135">
        <v>-323.2140089003611</v>
      </c>
      <c r="BA78" s="135">
        <v>13.65786839086294</v>
      </c>
      <c r="BB78" s="135">
        <v>0.0</v>
      </c>
      <c r="BC78" s="135">
        <v>2.41287591346313</v>
      </c>
    </row>
    <row r="79" ht="15.75" customHeight="1">
      <c r="A79" s="130" t="s">
        <v>24</v>
      </c>
      <c r="B79" s="130">
        <v>2023.0</v>
      </c>
      <c r="C79" s="131">
        <v>153.9919281005859</v>
      </c>
      <c r="D79" s="132">
        <v>7.8558E10</v>
      </c>
      <c r="E79" s="132">
        <v>4.837E10</v>
      </c>
      <c r="F79" s="132">
        <v>8.317E9</v>
      </c>
      <c r="G79" s="130">
        <v>6.93</v>
      </c>
      <c r="H79" s="130">
        <v>0.65</v>
      </c>
      <c r="I79" s="130">
        <v>1.200286264E9</v>
      </c>
      <c r="J79" s="132">
        <v>7.748E9</v>
      </c>
      <c r="K79" s="132">
        <v>1.8559E10</v>
      </c>
      <c r="L79" s="132">
        <v>-1.0811E10</v>
      </c>
      <c r="M79" s="133">
        <v>7.47E8</v>
      </c>
      <c r="N79" s="132">
        <v>5.135E9</v>
      </c>
      <c r="O79" s="132">
        <v>1.9015E10</v>
      </c>
      <c r="P79" s="132">
        <v>2.07682E11</v>
      </c>
      <c r="Q79" s="132">
        <v>2.0951E11</v>
      </c>
      <c r="R79" s="132">
        <v>2.0928E10</v>
      </c>
      <c r="S79" s="132">
        <v>1.678E9</v>
      </c>
      <c r="T79" s="132">
        <v>6.4715E10</v>
      </c>
      <c r="U79" s="132">
        <v>6.71855E10</v>
      </c>
      <c r="V79" s="132">
        <v>1.13086E11</v>
      </c>
      <c r="W79" s="132">
        <v>1.39733E11</v>
      </c>
      <c r="X79" s="132">
        <v>2.7152E10</v>
      </c>
      <c r="Y79" s="132">
        <v>1.4334E10</v>
      </c>
      <c r="Z79" s="132">
        <v>3.335E9</v>
      </c>
      <c r="AA79" s="132">
        <v>1.0999E10</v>
      </c>
      <c r="AB79" s="132">
        <v>2.682E9</v>
      </c>
      <c r="AC79" s="134">
        <v>0.2438403491226475</v>
      </c>
      <c r="AD79" s="130"/>
      <c r="AE79" s="135">
        <v>0.6157234145472136</v>
      </c>
      <c r="AF79" s="135">
        <v>0.1824639120140533</v>
      </c>
      <c r="AG79" s="135">
        <v>0.1058708215585936</v>
      </c>
      <c r="AH79" s="135">
        <v>0.1237915919357599</v>
      </c>
      <c r="AI79" s="135">
        <v>0.03969738914610281</v>
      </c>
      <c r="AJ79" s="136">
        <v>1.083879243567597E10</v>
      </c>
      <c r="AK79" s="135">
        <v>0.07756787899548404</v>
      </c>
      <c r="AL79" s="135">
        <v>0.0898160394372971</v>
      </c>
      <c r="AM79" s="135">
        <v>0.0964119772844605</v>
      </c>
      <c r="AN79" s="135">
        <v>1.747446496175539</v>
      </c>
      <c r="AO79" s="135">
        <v>4.298050974512743</v>
      </c>
      <c r="AP79" s="135">
        <v>0.1641140371045045</v>
      </c>
      <c r="AQ79" s="132">
        <v>1.07951E11</v>
      </c>
      <c r="AR79" s="135">
        <v>3.975802887448439</v>
      </c>
      <c r="AS79" s="135">
        <v>0.9085913608562691</v>
      </c>
      <c r="AT79" s="135">
        <v>0.8284116972477065</v>
      </c>
      <c r="AU79" s="135">
        <v>0.2453650611620795</v>
      </c>
      <c r="AV79" s="132">
        <v>1.848343960660089E11</v>
      </c>
      <c r="AW79" s="132">
        <v>2.927853960660089E11</v>
      </c>
      <c r="AX79" s="135">
        <v>22.221057445972</v>
      </c>
      <c r="AY79" s="135">
        <v>2.352839889839468</v>
      </c>
      <c r="AZ79" s="135">
        <v>23.85575581646992</v>
      </c>
      <c r="BA79" s="135">
        <v>10.78319814621424</v>
      </c>
      <c r="BB79" s="135">
        <v>0.004221000464228402</v>
      </c>
      <c r="BC79" s="135">
        <v>2.856129121007632</v>
      </c>
    </row>
    <row r="80" ht="15.75" customHeight="1">
      <c r="A80" s="130" t="s">
        <v>24</v>
      </c>
      <c r="B80" s="130">
        <v>2024.0</v>
      </c>
      <c r="C80" s="131">
        <v>215.1318054199219</v>
      </c>
      <c r="D80" s="132">
        <v>8.14E10</v>
      </c>
      <c r="E80" s="132">
        <v>5.1747E10</v>
      </c>
      <c r="F80" s="132">
        <v>1.1339E10</v>
      </c>
      <c r="G80" s="130">
        <v>9.66</v>
      </c>
      <c r="H80" s="130">
        <v>2.83</v>
      </c>
      <c r="I80" s="130">
        <v>1.173213898E9</v>
      </c>
      <c r="J80" s="132">
        <v>9.982E9</v>
      </c>
      <c r="K80" s="132">
        <v>2.2293E10</v>
      </c>
      <c r="L80" s="132">
        <v>-1.2311E10</v>
      </c>
      <c r="M80" s="133">
        <v>3.3E9</v>
      </c>
      <c r="N80" s="132">
        <v>5.409E9</v>
      </c>
      <c r="O80" s="132">
        <v>1.8404E10</v>
      </c>
      <c r="P80" s="132">
        <v>2.08035E11</v>
      </c>
      <c r="Q80" s="132">
        <v>2.078585E11</v>
      </c>
      <c r="R80" s="132">
        <v>2.0174E10</v>
      </c>
      <c r="S80" s="132">
        <v>1.607E9</v>
      </c>
      <c r="T80" s="132">
        <v>6.1741E10</v>
      </c>
      <c r="U80" s="132">
        <v>6.3228E10</v>
      </c>
      <c r="V80" s="132">
        <v>1.13944E11</v>
      </c>
      <c r="W80" s="132">
        <v>1.40006E11</v>
      </c>
      <c r="X80" s="132">
        <v>3.1042E10</v>
      </c>
      <c r="Y80" s="132">
        <v>1.8123E10</v>
      </c>
      <c r="Z80" s="132">
        <v>3.411E9</v>
      </c>
      <c r="AA80" s="132">
        <v>1.4712E10</v>
      </c>
      <c r="AB80" s="132">
        <v>3.373E9</v>
      </c>
      <c r="AC80" s="134">
        <v>0.229268624252311</v>
      </c>
      <c r="AD80" s="130"/>
      <c r="AE80" s="135">
        <v>0.6357125307125308</v>
      </c>
      <c r="AF80" s="135">
        <v>0.2226412776412776</v>
      </c>
      <c r="AG80" s="135">
        <v>0.1392997542997543</v>
      </c>
      <c r="AH80" s="135">
        <v>0.1793351047004492</v>
      </c>
      <c r="AI80" s="135">
        <v>0.05455153385596451</v>
      </c>
      <c r="AJ80" s="136">
        <v>1.396796472267537E10</v>
      </c>
      <c r="AK80" s="135">
        <v>0.0997669008662155</v>
      </c>
      <c r="AL80" s="135">
        <v>0.2910309551106799</v>
      </c>
      <c r="AM80" s="135">
        <v>0.3305950711280304</v>
      </c>
      <c r="AN80" s="135">
        <v>1.845515945643899</v>
      </c>
      <c r="AO80" s="135">
        <v>5.313104661389622</v>
      </c>
      <c r="AP80" s="135">
        <v>0.1956487397317981</v>
      </c>
      <c r="AQ80" s="132">
        <v>1.08535E11</v>
      </c>
      <c r="AR80" s="135">
        <v>3.496391985052509</v>
      </c>
      <c r="AS80" s="135">
        <v>0.9122633092098741</v>
      </c>
      <c r="AT80" s="135">
        <v>0.8326063249727372</v>
      </c>
      <c r="AU80" s="135">
        <v>0.2681173788044017</v>
      </c>
      <c r="AV80" s="132">
        <v>2.523956240204841E11</v>
      </c>
      <c r="AW80" s="132">
        <v>3.609306240204841E11</v>
      </c>
      <c r="AX80" s="135">
        <v>22.27037323187597</v>
      </c>
      <c r="AY80" s="135">
        <v>3.100683341774988</v>
      </c>
      <c r="AZ80" s="135">
        <v>25.28507553801684</v>
      </c>
      <c r="BA80" s="135">
        <v>11.62717041493731</v>
      </c>
      <c r="BB80" s="135">
        <v>0.01315472621296532</v>
      </c>
      <c r="BC80" s="135">
        <v>4.08797434477064</v>
      </c>
    </row>
    <row r="81" ht="15.75" customHeight="1">
      <c r="A81" s="130" t="s">
        <v>24</v>
      </c>
      <c r="B81" s="130">
        <v>2025.0</v>
      </c>
      <c r="C81" s="131">
        <v>200.9779052734375</v>
      </c>
      <c r="D81" s="132">
        <v>8.8309E10</v>
      </c>
      <c r="E81" s="132">
        <v>5.5535E10</v>
      </c>
      <c r="F81" s="132">
        <v>1.0992E10</v>
      </c>
      <c r="G81" s="130">
        <v>9.72</v>
      </c>
      <c r="H81" s="130">
        <v>3.66</v>
      </c>
      <c r="I81" s="130">
        <v>1.131076251E9</v>
      </c>
      <c r="J81" s="132">
        <v>1.5427E10</v>
      </c>
      <c r="K81" s="132">
        <v>2.795E10</v>
      </c>
      <c r="L81" s="132">
        <v>-1.2523E10</v>
      </c>
      <c r="M81" s="133">
        <v>4.121E9</v>
      </c>
      <c r="N81" s="132">
        <v>5.598E9</v>
      </c>
      <c r="O81" s="132">
        <v>2.4461E10</v>
      </c>
      <c r="P81" s="132">
        <v>2.19237E11</v>
      </c>
      <c r="Q81" s="132">
        <v>2.13636E11</v>
      </c>
      <c r="R81" s="132">
        <v>2.45E10</v>
      </c>
      <c r="S81" s="132">
        <v>2.405E9</v>
      </c>
      <c r="T81" s="132">
        <v>5.9203E10</v>
      </c>
      <c r="U81" s="132">
        <v>6.0472E10</v>
      </c>
      <c r="V81" s="132">
        <v>1.22269E11</v>
      </c>
      <c r="W81" s="132">
        <v>1.45485E11</v>
      </c>
      <c r="X81" s="132">
        <v>3.1563E10</v>
      </c>
      <c r="Y81" s="132">
        <v>1.8055E10</v>
      </c>
      <c r="Z81" s="132">
        <v>3.774E9</v>
      </c>
      <c r="AA81" s="132">
        <v>1.4281E10</v>
      </c>
      <c r="AB81" s="132">
        <v>3.289E9</v>
      </c>
      <c r="AC81" s="134">
        <v>0.2303060009803235</v>
      </c>
      <c r="AD81" s="130"/>
      <c r="AE81" s="135">
        <v>0.6288713494660794</v>
      </c>
      <c r="AF81" s="135">
        <v>0.2044525473054842</v>
      </c>
      <c r="AG81" s="135">
        <v>0.1244720243689771</v>
      </c>
      <c r="AH81" s="135">
        <v>0.1817700754067998</v>
      </c>
      <c r="AI81" s="135">
        <v>0.05145200247149357</v>
      </c>
      <c r="AJ81" s="136">
        <v>1.389682515230026E10</v>
      </c>
      <c r="AK81" s="135">
        <v>0.09552067328109605</v>
      </c>
      <c r="AL81" s="135">
        <v>0.3749090247452693</v>
      </c>
      <c r="AM81" s="135">
        <v>0.2671290594412394</v>
      </c>
      <c r="AN81" s="135">
        <v>2.065250071786903</v>
      </c>
      <c r="AO81" s="135">
        <v>4.78404875463699</v>
      </c>
      <c r="AP81" s="135">
        <v>0.2285943288977582</v>
      </c>
      <c r="AQ81" s="132">
        <v>1.16671E11</v>
      </c>
      <c r="AR81" s="135">
        <v>3.69644837309508</v>
      </c>
      <c r="AS81" s="135">
        <v>0.9984081632653061</v>
      </c>
      <c r="AT81" s="135">
        <v>0.9002448979591837</v>
      </c>
      <c r="AU81" s="135">
        <v>0.2284897959183673</v>
      </c>
      <c r="AV81" s="132">
        <v>2.273213356305128E11</v>
      </c>
      <c r="AW81" s="132">
        <v>3.439923356305128E11</v>
      </c>
      <c r="AX81" s="135">
        <v>20.67673922566229</v>
      </c>
      <c r="AY81" s="135">
        <v>2.574158190337483</v>
      </c>
      <c r="AZ81" s="135">
        <v>14.73529108903305</v>
      </c>
      <c r="BA81" s="135">
        <v>10.89859441848091</v>
      </c>
      <c r="BB81" s="135">
        <v>0.01821095704535502</v>
      </c>
      <c r="BC81" s="135">
        <v>3.839692847161678</v>
      </c>
    </row>
    <row r="82" ht="15.75" customHeight="1">
      <c r="A82" s="130" t="s">
        <v>18</v>
      </c>
      <c r="B82" s="130">
        <v>2022.0</v>
      </c>
      <c r="C82" s="131">
        <v>123.1800003051758</v>
      </c>
      <c r="D82" s="132">
        <v>8.1462E10</v>
      </c>
      <c r="E82" s="132">
        <v>2.0853E10</v>
      </c>
      <c r="F82" s="132">
        <v>1.2583E10</v>
      </c>
      <c r="G82" s="130">
        <v>3.62</v>
      </c>
      <c r="H82" s="130"/>
      <c r="I82" s="130">
        <v>3.475E9</v>
      </c>
      <c r="J82" s="132">
        <v>7.552E9</v>
      </c>
      <c r="K82" s="132">
        <v>1.4724E10</v>
      </c>
      <c r="L82" s="132">
        <v>-7.172E9</v>
      </c>
      <c r="M82" s="133"/>
      <c r="N82" s="132">
        <v>1.6253E10</v>
      </c>
      <c r="O82" s="132">
        <v>4.0917E10</v>
      </c>
      <c r="P82" s="132">
        <v>8.2338E10</v>
      </c>
      <c r="Q82" s="132">
        <v>8.2338E10</v>
      </c>
      <c r="R82" s="132">
        <v>2.6709E10</v>
      </c>
      <c r="S82" s="132">
        <v>1.2839E10</v>
      </c>
      <c r="T82" s="132">
        <v>4.4704E10</v>
      </c>
      <c r="U82" s="132">
        <v>4.4704E10</v>
      </c>
      <c r="V82" s="132">
        <v>5.748E9</v>
      </c>
      <c r="W82" s="132">
        <v>4.6749E10</v>
      </c>
      <c r="X82" s="132">
        <v>1.7657E10</v>
      </c>
      <c r="Y82" s="132">
        <v>1.391E10</v>
      </c>
      <c r="Z82" s="132">
        <v>1.91E8</v>
      </c>
      <c r="AA82" s="132">
        <v>1.3719E10</v>
      </c>
      <c r="AB82" s="132">
        <v>1.132E9</v>
      </c>
      <c r="AC82" s="134">
        <v>0.08251330271885705</v>
      </c>
      <c r="AD82" s="130"/>
      <c r="AE82" s="135">
        <v>0.25598438535759</v>
      </c>
      <c r="AF82" s="135">
        <v>0.1707544622032359</v>
      </c>
      <c r="AG82" s="135">
        <v>0.154464658368319</v>
      </c>
      <c r="AH82" s="135">
        <v>0.2814736936292054</v>
      </c>
      <c r="AI82" s="135">
        <v>0.1528212975782749</v>
      </c>
      <c r="AJ82" s="136">
        <v>1.27622399591807E10</v>
      </c>
      <c r="AK82" s="135">
        <v>0.2729949294996834</v>
      </c>
      <c r="AL82" s="135"/>
      <c r="AM82" s="135"/>
      <c r="AN82" s="135">
        <v>0.128579098067287</v>
      </c>
      <c r="AO82" s="135">
        <v>72.82722513089006</v>
      </c>
      <c r="AP82" s="135">
        <v>2.561586638830898</v>
      </c>
      <c r="AQ82" s="132">
        <v>-1.0505E10</v>
      </c>
      <c r="AR82" s="135">
        <v>-0.5949481791923883</v>
      </c>
      <c r="AS82" s="135">
        <v>1.53195552061103</v>
      </c>
      <c r="AT82" s="135">
        <v>1.051256130892209</v>
      </c>
      <c r="AU82" s="135">
        <v>0.6085214721629413</v>
      </c>
      <c r="AV82" s="132">
        <v>4.280505010604858E11</v>
      </c>
      <c r="AW82" s="132">
        <v>4.175455010604858E11</v>
      </c>
      <c r="AX82" s="135">
        <v>34.02762439369496</v>
      </c>
      <c r="AY82" s="135">
        <v>5.254603386370158</v>
      </c>
      <c r="AZ82" s="135">
        <v>56.68041592432281</v>
      </c>
      <c r="BA82" s="135">
        <v>23.64759025091951</v>
      </c>
      <c r="BB82" s="135"/>
      <c r="BC82" s="135">
        <v>9.575217006542722</v>
      </c>
    </row>
    <row r="83" ht="15.75" customHeight="1">
      <c r="A83" s="130" t="s">
        <v>18</v>
      </c>
      <c r="B83" s="130">
        <v>2023.0</v>
      </c>
      <c r="C83" s="131">
        <v>248.4799957275391</v>
      </c>
      <c r="D83" s="132">
        <v>9.6773E10</v>
      </c>
      <c r="E83" s="132">
        <v>1.766E10</v>
      </c>
      <c r="F83" s="132">
        <v>1.4999E10</v>
      </c>
      <c r="G83" s="130">
        <v>4.31</v>
      </c>
      <c r="H83" s="130"/>
      <c r="I83" s="130">
        <v>3.48275E9</v>
      </c>
      <c r="J83" s="132">
        <v>4.357E9</v>
      </c>
      <c r="K83" s="132">
        <v>1.3256E10</v>
      </c>
      <c r="L83" s="132">
        <v>-8.899E9</v>
      </c>
      <c r="M83" s="133"/>
      <c r="N83" s="132">
        <v>1.6398E10</v>
      </c>
      <c r="O83" s="132">
        <v>4.9616E10</v>
      </c>
      <c r="P83" s="132">
        <v>1.06618E11</v>
      </c>
      <c r="Q83" s="132">
        <v>9.4478E10</v>
      </c>
      <c r="R83" s="132">
        <v>2.8748E10</v>
      </c>
      <c r="S83" s="132">
        <v>1.3626E10</v>
      </c>
      <c r="T83" s="132">
        <v>6.2634E10</v>
      </c>
      <c r="U83" s="132">
        <v>5.3669E10</v>
      </c>
      <c r="V83" s="132">
        <v>9.573E9</v>
      </c>
      <c r="W83" s="132">
        <v>6.7291E10</v>
      </c>
      <c r="X83" s="132">
        <v>1.4796E10</v>
      </c>
      <c r="Y83" s="132">
        <v>1.0129E10</v>
      </c>
      <c r="Z83" s="132">
        <v>1.56E8</v>
      </c>
      <c r="AA83" s="132">
        <v>9.973E9</v>
      </c>
      <c r="AB83" s="132">
        <v>-5.001E9</v>
      </c>
      <c r="AC83" s="134">
        <v>-0.5014539255991176</v>
      </c>
      <c r="AD83" s="130"/>
      <c r="AE83" s="135">
        <v>0.1824889173633142</v>
      </c>
      <c r="AF83" s="135">
        <v>0.1046676242340322</v>
      </c>
      <c r="AG83" s="135">
        <v>0.1549915782294648</v>
      </c>
      <c r="AH83" s="135">
        <v>0.2794723210792077</v>
      </c>
      <c r="AI83" s="135">
        <v>0.1587565359131226</v>
      </c>
      <c r="AJ83" s="136">
        <v>1.520822681239346E10</v>
      </c>
      <c r="AK83" s="135">
        <v>0.2260068480538774</v>
      </c>
      <c r="AL83" s="135"/>
      <c r="AM83" s="135"/>
      <c r="AN83" s="135">
        <v>0.1528403103745569</v>
      </c>
      <c r="AO83" s="135">
        <v>64.92948717948718</v>
      </c>
      <c r="AP83" s="135">
        <v>1.384727880497232</v>
      </c>
      <c r="AQ83" s="132">
        <v>-6.825E9</v>
      </c>
      <c r="AR83" s="135">
        <v>-0.4612733171127332</v>
      </c>
      <c r="AS83" s="135">
        <v>1.72589397523306</v>
      </c>
      <c r="AT83" s="135">
        <v>1.251913176568805</v>
      </c>
      <c r="AU83" s="135">
        <v>0.5704048977320162</v>
      </c>
      <c r="AV83" s="132">
        <v>8.653937051200867E11</v>
      </c>
      <c r="AW83" s="132">
        <v>8.585687051200867E11</v>
      </c>
      <c r="AX83" s="135">
        <v>57.65197116648238</v>
      </c>
      <c r="AY83" s="135">
        <v>8.94251191055446</v>
      </c>
      <c r="AZ83" s="135">
        <v>198.6214608951312</v>
      </c>
      <c r="BA83" s="135">
        <v>58.02708198973281</v>
      </c>
      <c r="BB83" s="135"/>
      <c r="BC83" s="135">
        <v>13.81667632787442</v>
      </c>
    </row>
    <row r="84" ht="15.75" customHeight="1">
      <c r="A84" s="130" t="s">
        <v>18</v>
      </c>
      <c r="B84" s="130">
        <v>2024.0</v>
      </c>
      <c r="C84" s="131">
        <v>403.8399963378906</v>
      </c>
      <c r="D84" s="132">
        <v>9.769E10</v>
      </c>
      <c r="E84" s="132">
        <v>1.745E10</v>
      </c>
      <c r="F84" s="132">
        <v>7.13E9</v>
      </c>
      <c r="G84" s="130">
        <v>2.04</v>
      </c>
      <c r="H84" s="130"/>
      <c r="I84" s="130">
        <v>3.216E9</v>
      </c>
      <c r="J84" s="132">
        <v>3.581E9</v>
      </c>
      <c r="K84" s="132">
        <v>1.4923E10</v>
      </c>
      <c r="L84" s="132">
        <v>-1.1342E10</v>
      </c>
      <c r="M84" s="133"/>
      <c r="N84" s="132">
        <v>1.6139E10</v>
      </c>
      <c r="O84" s="132">
        <v>5.836E10</v>
      </c>
      <c r="P84" s="132">
        <v>1.2207E11</v>
      </c>
      <c r="Q84" s="132">
        <v>1.14344E11</v>
      </c>
      <c r="R84" s="132">
        <v>2.8821E10</v>
      </c>
      <c r="S84" s="132">
        <v>1.2017E10</v>
      </c>
      <c r="T84" s="132">
        <v>7.2913E10</v>
      </c>
      <c r="U84" s="132">
        <v>6.77735E10</v>
      </c>
      <c r="V84" s="132">
        <v>1.3623E10</v>
      </c>
      <c r="W84" s="132">
        <v>8.0791E10</v>
      </c>
      <c r="X84" s="132">
        <v>1.4708E10</v>
      </c>
      <c r="Y84" s="132">
        <v>9.34E9</v>
      </c>
      <c r="Z84" s="132">
        <v>3.5E8</v>
      </c>
      <c r="AA84" s="132">
        <v>8.99E9</v>
      </c>
      <c r="AB84" s="132">
        <v>1.837E9</v>
      </c>
      <c r="AC84" s="134">
        <v>0.2043381535038932</v>
      </c>
      <c r="AD84" s="130"/>
      <c r="AE84" s="135">
        <v>0.178626266762207</v>
      </c>
      <c r="AF84" s="135">
        <v>0.09560855768246494</v>
      </c>
      <c r="AG84" s="135">
        <v>0.07298597604667827</v>
      </c>
      <c r="AH84" s="135">
        <v>0.1052033611957476</v>
      </c>
      <c r="AI84" s="135">
        <v>0.0623556985937172</v>
      </c>
      <c r="AJ84" s="136">
        <v>7.431481646273637E9</v>
      </c>
      <c r="AK84" s="135">
        <v>0.09198402849665974</v>
      </c>
      <c r="AL84" s="135"/>
      <c r="AM84" s="135"/>
      <c r="AN84" s="135">
        <v>0.1868391096237982</v>
      </c>
      <c r="AO84" s="135">
        <v>26.68571428571429</v>
      </c>
      <c r="AP84" s="135">
        <v>1.095426851647948</v>
      </c>
      <c r="AQ84" s="132">
        <v>-2.516E9</v>
      </c>
      <c r="AR84" s="135">
        <v>-0.17106336687517</v>
      </c>
      <c r="AS84" s="135">
        <v>2.024912390270983</v>
      </c>
      <c r="AT84" s="135">
        <v>1.607959473994657</v>
      </c>
      <c r="AU84" s="135">
        <v>0.559973630338989</v>
      </c>
      <c r="AV84" s="132">
        <v>1.298749428222656E12</v>
      </c>
      <c r="AW84" s="132">
        <v>1.296233428222656E12</v>
      </c>
      <c r="AX84" s="135">
        <v>197.9607825185738</v>
      </c>
      <c r="AY84" s="135">
        <v>13.29459953140195</v>
      </c>
      <c r="AZ84" s="135">
        <v>362.6778632288903</v>
      </c>
      <c r="BA84" s="135">
        <v>88.13118222889966</v>
      </c>
      <c r="BB84" s="135"/>
      <c r="BC84" s="135">
        <v>17.81231643496573</v>
      </c>
    </row>
    <row r="85" ht="15.75" customHeight="1">
      <c r="A85" s="130" t="s">
        <v>18</v>
      </c>
      <c r="B85" s="130">
        <v>2025.0</v>
      </c>
      <c r="C85" s="131">
        <v>449.7200012207031</v>
      </c>
      <c r="D85" s="132">
        <v>9.4827E10</v>
      </c>
      <c r="E85" s="132">
        <v>1.7094E10</v>
      </c>
      <c r="F85" s="132">
        <v>3.794E9</v>
      </c>
      <c r="G85" s="130">
        <v>1.08</v>
      </c>
      <c r="H85" s="130"/>
      <c r="I85" s="130">
        <v>3.52625E9</v>
      </c>
      <c r="J85" s="132">
        <v>6.22E9</v>
      </c>
      <c r="K85" s="132">
        <v>1.4747E10</v>
      </c>
      <c r="L85" s="132">
        <v>-8.527E9</v>
      </c>
      <c r="M85" s="133"/>
      <c r="N85" s="132">
        <v>1.6513E10</v>
      </c>
      <c r="O85" s="132">
        <v>6.8642E10</v>
      </c>
      <c r="P85" s="132">
        <v>1.37806E11</v>
      </c>
      <c r="Q85" s="132">
        <v>1.29938E11</v>
      </c>
      <c r="R85" s="132">
        <v>3.1714E10</v>
      </c>
      <c r="S85" s="132">
        <v>1.2392E10</v>
      </c>
      <c r="T85" s="132">
        <v>8.2137E10</v>
      </c>
      <c r="U85" s="132">
        <v>7.7525E10</v>
      </c>
      <c r="V85" s="132">
        <v>1.4719E10</v>
      </c>
      <c r="W85" s="132">
        <v>9.029E10</v>
      </c>
      <c r="X85" s="132">
        <v>1.1764E10</v>
      </c>
      <c r="Y85" s="132">
        <v>5.616E9</v>
      </c>
      <c r="Z85" s="132">
        <v>3.38E8</v>
      </c>
      <c r="AA85" s="132">
        <v>5.278E9</v>
      </c>
      <c r="AB85" s="132">
        <v>1.423E9</v>
      </c>
      <c r="AC85" s="134">
        <v>0.2696097006441834</v>
      </c>
      <c r="AD85" s="130"/>
      <c r="AE85" s="135">
        <v>0.1802651143661615</v>
      </c>
      <c r="AF85" s="135">
        <v>0.05922363883704009</v>
      </c>
      <c r="AG85" s="135">
        <v>0.04000970187815706</v>
      </c>
      <c r="AH85" s="135">
        <v>0.04893905191873589</v>
      </c>
      <c r="AI85" s="135">
        <v>0.02919854084255568</v>
      </c>
      <c r="AJ85" s="136">
        <v>4.101871921182266E9</v>
      </c>
      <c r="AK85" s="135">
        <v>0.0454299692234164</v>
      </c>
      <c r="AL85" s="135"/>
      <c r="AM85" s="135"/>
      <c r="AN85" s="135">
        <v>0.1792006038691455</v>
      </c>
      <c r="AO85" s="135">
        <v>16.61538461538462</v>
      </c>
      <c r="AP85" s="135">
        <v>1.001902303145594</v>
      </c>
      <c r="AQ85" s="132">
        <v>-1.794E9</v>
      </c>
      <c r="AR85" s="135">
        <v>-0.1524991499489969</v>
      </c>
      <c r="AS85" s="135">
        <v>2.164406886548528</v>
      </c>
      <c r="AT85" s="135">
        <v>1.773664627609258</v>
      </c>
      <c r="AU85" s="135">
        <v>0.5206848710348742</v>
      </c>
      <c r="AV85" s="132">
        <v>1.585825154304504E12</v>
      </c>
      <c r="AW85" s="132">
        <v>1.584031154304504E12</v>
      </c>
      <c r="AX85" s="135">
        <v>416.4074085376881</v>
      </c>
      <c r="AY85" s="135">
        <v>16.72335046246854</v>
      </c>
      <c r="AZ85" s="135">
        <v>254.9558125891486</v>
      </c>
      <c r="BA85" s="135">
        <v>134.6507271595125</v>
      </c>
      <c r="BB85" s="135"/>
      <c r="BC85" s="135">
        <v>19.30707420899843</v>
      </c>
    </row>
    <row r="86" ht="15.75" customHeight="1">
      <c r="A86" s="130" t="s">
        <v>25</v>
      </c>
      <c r="B86" s="130">
        <v>2022.0</v>
      </c>
      <c r="C86" s="131">
        <v>288.7799987792969</v>
      </c>
      <c r="D86" s="132">
        <v>8.9307E9</v>
      </c>
      <c r="E86" s="132">
        <v>7.8504E9</v>
      </c>
      <c r="F86" s="132">
        <v>3.322E9</v>
      </c>
      <c r="G86" s="130">
        <v>12.82</v>
      </c>
      <c r="H86" s="130"/>
      <c r="I86" s="130">
        <v>2.591E8</v>
      </c>
      <c r="J86" s="132">
        <v>3.9252E9</v>
      </c>
      <c r="K86" s="132">
        <v>4.1299E9</v>
      </c>
      <c r="L86" s="132">
        <v>-2.047E8</v>
      </c>
      <c r="M86" s="133"/>
      <c r="N86" s="132">
        <v>1.0504E10</v>
      </c>
      <c r="O86" s="132">
        <v>1.32348E10</v>
      </c>
      <c r="P86" s="132">
        <v>1.81509E10</v>
      </c>
      <c r="Q86" s="132">
        <v>1.81509E10</v>
      </c>
      <c r="R86" s="132">
        <v>2.7421E9</v>
      </c>
      <c r="S86" s="132">
        <v>4.606E8</v>
      </c>
      <c r="T86" s="132">
        <v>1.39127E10</v>
      </c>
      <c r="U86" s="132">
        <v>1.39127E10</v>
      </c>
      <c r="V86" s="132">
        <v>8.997E8</v>
      </c>
      <c r="W86" s="132">
        <v>1.39127E10</v>
      </c>
      <c r="X86" s="132">
        <v>4.4355E9</v>
      </c>
      <c r="Y86" s="132">
        <v>4.2872E9</v>
      </c>
      <c r="Z86" s="132">
        <v>5.48E7</v>
      </c>
      <c r="AA86" s="132">
        <v>4.2324E9</v>
      </c>
      <c r="AB86" s="132">
        <v>9.104E8</v>
      </c>
      <c r="AC86" s="134">
        <v>0.215102542292789</v>
      </c>
      <c r="AD86" s="130" t="s">
        <v>124</v>
      </c>
      <c r="AE86" s="135">
        <v>0.879035237999261</v>
      </c>
      <c r="AF86" s="135">
        <v>0.4800519556137817</v>
      </c>
      <c r="AG86" s="135">
        <v>0.3719753210834537</v>
      </c>
      <c r="AH86" s="135">
        <v>0.2387746447490423</v>
      </c>
      <c r="AI86" s="135">
        <v>0.1830212275975296</v>
      </c>
      <c r="AJ86" s="136">
        <v>3.365012380682355E9</v>
      </c>
      <c r="AK86" s="135">
        <v>0.2418662359342439</v>
      </c>
      <c r="AL86" s="135"/>
      <c r="AM86" s="135"/>
      <c r="AN86" s="135">
        <v>0.06466753397974513</v>
      </c>
      <c r="AO86" s="135">
        <v>78.23357664233576</v>
      </c>
      <c r="AP86" s="135">
        <v>4.59030788040458</v>
      </c>
      <c r="AQ86" s="132">
        <v>-9.6043E9</v>
      </c>
      <c r="AR86" s="135">
        <v>-2.165325216999211</v>
      </c>
      <c r="AS86" s="135">
        <v>4.826519820575472</v>
      </c>
      <c r="AT86" s="135">
        <v>4.658546369570767</v>
      </c>
      <c r="AU86" s="135">
        <v>3.830640749790307</v>
      </c>
      <c r="AV86" s="132">
        <v>7.482289768371582E10</v>
      </c>
      <c r="AW86" s="132">
        <v>6.521859768371582E10</v>
      </c>
      <c r="AX86" s="135">
        <v>22.52574093442253</v>
      </c>
      <c r="AY86" s="135">
        <v>8.378167185519144</v>
      </c>
      <c r="AZ86" s="135">
        <v>19.06218732388562</v>
      </c>
      <c r="BA86" s="135">
        <v>14.70377582768928</v>
      </c>
      <c r="BB86" s="135"/>
      <c r="BC86" s="135">
        <v>5.378028541096683</v>
      </c>
    </row>
    <row r="87" ht="15.75" customHeight="1">
      <c r="A87" s="130" t="s">
        <v>25</v>
      </c>
      <c r="B87" s="130">
        <v>2023.0</v>
      </c>
      <c r="C87" s="131">
        <v>406.8900146484375</v>
      </c>
      <c r="D87" s="132">
        <v>9.8692E9</v>
      </c>
      <c r="E87" s="132">
        <v>8.607E9</v>
      </c>
      <c r="F87" s="132">
        <v>3.6196E9</v>
      </c>
      <c r="G87" s="130">
        <v>13.89</v>
      </c>
      <c r="H87" s="130"/>
      <c r="I87" s="130">
        <v>2.605E8</v>
      </c>
      <c r="J87" s="132">
        <v>3.2789E9</v>
      </c>
      <c r="K87" s="132">
        <v>3.5373E9</v>
      </c>
      <c r="L87" s="132">
        <v>-2.584E8</v>
      </c>
      <c r="M87" s="133"/>
      <c r="N87" s="132">
        <v>1.03691E10</v>
      </c>
      <c r="O87" s="132">
        <v>1.41442E10</v>
      </c>
      <c r="P87" s="132">
        <v>2.27302E10</v>
      </c>
      <c r="Q87" s="132">
        <v>2.044055E10</v>
      </c>
      <c r="R87" s="132">
        <v>3.5474E9</v>
      </c>
      <c r="S87" s="132">
        <v>7.388E8</v>
      </c>
      <c r="T87" s="132">
        <v>1.75804E10</v>
      </c>
      <c r="U87" s="132">
        <v>1.574655E10</v>
      </c>
      <c r="V87" s="132">
        <v>8.084E8</v>
      </c>
      <c r="W87" s="132">
        <v>1.75804E10</v>
      </c>
      <c r="X87" s="132">
        <v>4.6052E9</v>
      </c>
      <c r="Y87" s="132">
        <v>4.4239E9</v>
      </c>
      <c r="Z87" s="132">
        <v>4.41E7</v>
      </c>
      <c r="AA87" s="132">
        <v>4.3798E9</v>
      </c>
      <c r="AB87" s="132">
        <v>7.602E8</v>
      </c>
      <c r="AC87" s="134">
        <v>0.17356956938673</v>
      </c>
      <c r="AD87" s="130"/>
      <c r="AE87" s="135">
        <v>0.8721071616747051</v>
      </c>
      <c r="AF87" s="135">
        <v>0.4482531512179305</v>
      </c>
      <c r="AG87" s="135">
        <v>0.3667571839662789</v>
      </c>
      <c r="AH87" s="135">
        <v>0.2298662246650854</v>
      </c>
      <c r="AI87" s="135">
        <v>0.1770793838717647</v>
      </c>
      <c r="AJ87" s="136">
        <v>3.656045581990046E9</v>
      </c>
      <c r="AK87" s="135">
        <v>0.2079614560527659</v>
      </c>
      <c r="AL87" s="135"/>
      <c r="AM87" s="135"/>
      <c r="AN87" s="135">
        <v>0.04598302655229688</v>
      </c>
      <c r="AO87" s="135">
        <v>100.3151927437642</v>
      </c>
      <c r="AP87" s="135">
        <v>4.375680356259277</v>
      </c>
      <c r="AQ87" s="132">
        <v>-9.5607E9</v>
      </c>
      <c r="AR87" s="135">
        <v>-2.076066186050551</v>
      </c>
      <c r="AS87" s="135">
        <v>3.987201894345154</v>
      </c>
      <c r="AT87" s="135">
        <v>3.778936686023567</v>
      </c>
      <c r="AU87" s="135">
        <v>2.923014038450696</v>
      </c>
      <c r="AV87" s="132">
        <v>1.05994848815918E11</v>
      </c>
      <c r="AW87" s="132">
        <v>9.643414881591797E10</v>
      </c>
      <c r="AX87" s="135">
        <v>29.29373755568304</v>
      </c>
      <c r="AY87" s="135">
        <v>10.73996360555242</v>
      </c>
      <c r="AZ87" s="135">
        <v>32.32634383967732</v>
      </c>
      <c r="BA87" s="135">
        <v>20.94027378092547</v>
      </c>
      <c r="BB87" s="135"/>
      <c r="BC87" s="135">
        <v>6.029148871238309</v>
      </c>
    </row>
    <row r="88" ht="15.75" customHeight="1">
      <c r="A88" s="130" t="s">
        <v>25</v>
      </c>
      <c r="B88" s="130">
        <v>2024.0</v>
      </c>
      <c r="C88" s="131">
        <v>402.7000122070312</v>
      </c>
      <c r="D88" s="132">
        <v>1.10201E10</v>
      </c>
      <c r="E88" s="132">
        <v>9.4896E9</v>
      </c>
      <c r="F88" s="132">
        <v>-5.356E8</v>
      </c>
      <c r="G88" s="130">
        <v>-2.08</v>
      </c>
      <c r="H88" s="130"/>
      <c r="I88" s="130">
        <v>2.579E8</v>
      </c>
      <c r="J88" s="132">
        <v>-9.78E8</v>
      </c>
      <c r="K88" s="132">
        <v>-4.926E8</v>
      </c>
      <c r="L88" s="132">
        <v>-4.854E8</v>
      </c>
      <c r="M88" s="133"/>
      <c r="N88" s="132">
        <v>4.5696E9</v>
      </c>
      <c r="O88" s="132">
        <v>9.5964E9</v>
      </c>
      <c r="P88" s="132">
        <v>2.25332E10</v>
      </c>
      <c r="Q88" s="132">
        <v>2.26317E10</v>
      </c>
      <c r="R88" s="132">
        <v>3.5646E9</v>
      </c>
      <c r="S88" s="132">
        <v>1.2054E9</v>
      </c>
      <c r="T88" s="132">
        <v>1.64096E10</v>
      </c>
      <c r="U88" s="132">
        <v>1.6995E10</v>
      </c>
      <c r="V88" s="132">
        <v>1.7443E9</v>
      </c>
      <c r="W88" s="132">
        <v>1.64096E10</v>
      </c>
      <c r="X88" s="132">
        <v>4.863E8</v>
      </c>
      <c r="Y88" s="132">
        <v>2.791E8</v>
      </c>
      <c r="Z88" s="132">
        <v>3.06E7</v>
      </c>
      <c r="AA88" s="132">
        <v>2.485E8</v>
      </c>
      <c r="AB88" s="132">
        <v>7.841E8</v>
      </c>
      <c r="AC88" s="134">
        <v>3.15533199195171</v>
      </c>
      <c r="AD88" s="130"/>
      <c r="AE88" s="135">
        <v>0.8611174127276522</v>
      </c>
      <c r="AF88" s="135">
        <v>0.02532644894329452</v>
      </c>
      <c r="AG88" s="135">
        <v>-0.04860209979945736</v>
      </c>
      <c r="AH88" s="135">
        <v>-0.03151515151515152</v>
      </c>
      <c r="AI88" s="135">
        <v>-0.02366591992647481</v>
      </c>
      <c r="AJ88" s="136">
        <v>-6.015531589537224E8</v>
      </c>
      <c r="AK88" s="135">
        <v>-0.03665861196822118</v>
      </c>
      <c r="AL88" s="135"/>
      <c r="AM88" s="135"/>
      <c r="AN88" s="135">
        <v>0.106297533151326</v>
      </c>
      <c r="AO88" s="135">
        <v>9.120915032679738</v>
      </c>
      <c r="AP88" s="135">
        <v>-0.2824055495040991</v>
      </c>
      <c r="AQ88" s="132">
        <v>-2.8253E9</v>
      </c>
      <c r="AR88" s="135">
        <v>-5.809788196586469</v>
      </c>
      <c r="AS88" s="135">
        <v>2.692139370476351</v>
      </c>
      <c r="AT88" s="135">
        <v>2.353980811311227</v>
      </c>
      <c r="AU88" s="135">
        <v>1.281939067497054</v>
      </c>
      <c r="AV88" s="132">
        <v>1.038563331481934E11</v>
      </c>
      <c r="AW88" s="132">
        <v>1.010310331481934E11</v>
      </c>
      <c r="AX88" s="135">
        <v>-193.6057750995342</v>
      </c>
      <c r="AY88" s="135">
        <v>9.424264130833055</v>
      </c>
      <c r="AZ88" s="135">
        <v>-106.1925696811793</v>
      </c>
      <c r="BA88" s="135">
        <v>207.7545407118926</v>
      </c>
      <c r="BB88" s="135"/>
      <c r="BC88" s="135">
        <v>6.328998461156479</v>
      </c>
    </row>
    <row r="89" ht="15.75" customHeight="1">
      <c r="A89" s="130" t="s">
        <v>25</v>
      </c>
      <c r="B89" s="130">
        <v>2025.0</v>
      </c>
      <c r="C89" s="131">
        <v>453.3599853515625</v>
      </c>
      <c r="D89" s="132">
        <v>1.20013E10</v>
      </c>
      <c r="E89" s="132">
        <v>1.035E10</v>
      </c>
      <c r="F89" s="132">
        <v>3.9532E9</v>
      </c>
      <c r="G89" s="130">
        <v>15.32</v>
      </c>
      <c r="H89" s="130"/>
      <c r="I89" s="130">
        <v>2.58E8</v>
      </c>
      <c r="J89" s="132">
        <v>3.1938E9</v>
      </c>
      <c r="K89" s="132">
        <v>3.6314E9</v>
      </c>
      <c r="L89" s="132">
        <v>-4.376E8</v>
      </c>
      <c r="M89" s="133"/>
      <c r="N89" s="132">
        <v>5.0848E9</v>
      </c>
      <c r="O89" s="132">
        <v>1.1201E10</v>
      </c>
      <c r="P89" s="132">
        <v>2.5643E10</v>
      </c>
      <c r="Q89" s="132">
        <v>2.40881E10</v>
      </c>
      <c r="R89" s="132">
        <v>3.8612E9</v>
      </c>
      <c r="S89" s="132">
        <v>1.6868E9</v>
      </c>
      <c r="T89" s="132">
        <v>1.86658E10</v>
      </c>
      <c r="U89" s="132">
        <v>1.75377E10</v>
      </c>
      <c r="V89" s="132">
        <v>2.0305E9</v>
      </c>
      <c r="W89" s="132">
        <v>1.86658E10</v>
      </c>
      <c r="X89" s="132">
        <v>4.8663E9</v>
      </c>
      <c r="Y89" s="132">
        <v>4.6565E9</v>
      </c>
      <c r="Z89" s="132">
        <v>1.33E7</v>
      </c>
      <c r="AA89" s="132">
        <v>4.6432E9</v>
      </c>
      <c r="AB89" s="132">
        <v>6.9E8</v>
      </c>
      <c r="AC89" s="134">
        <v>0.1486044107512061</v>
      </c>
      <c r="AD89" s="130"/>
      <c r="AE89" s="135">
        <v>0.8624065726212994</v>
      </c>
      <c r="AF89" s="135">
        <v>0.3879996333730513</v>
      </c>
      <c r="AG89" s="135">
        <v>0.3293976485880696</v>
      </c>
      <c r="AH89" s="135">
        <v>0.2254115419923935</v>
      </c>
      <c r="AI89" s="135">
        <v>0.1641142306782187</v>
      </c>
      <c r="AJ89" s="136">
        <v>3.964523561337008E9</v>
      </c>
      <c r="AK89" s="135">
        <v>0.2123950519847533</v>
      </c>
      <c r="AL89" s="135"/>
      <c r="AM89" s="135"/>
      <c r="AN89" s="135">
        <v>0.1087818362995425</v>
      </c>
      <c r="AO89" s="135">
        <v>350.1127819548872</v>
      </c>
      <c r="AP89" s="135">
        <v>1.788426495936961</v>
      </c>
      <c r="AQ89" s="132">
        <v>-3.0543E9</v>
      </c>
      <c r="AR89" s="135">
        <v>-0.6276431785956477</v>
      </c>
      <c r="AS89" s="135">
        <v>2.900911633689009</v>
      </c>
      <c r="AT89" s="135">
        <v>2.464052626126593</v>
      </c>
      <c r="AU89" s="135">
        <v>1.316896301667875</v>
      </c>
      <c r="AV89" s="132">
        <v>1.169668762207031E11</v>
      </c>
      <c r="AW89" s="132">
        <v>1.139125762207031E11</v>
      </c>
      <c r="AX89" s="135">
        <v>29.59268833887484</v>
      </c>
      <c r="AY89" s="135">
        <v>9.74618384847501</v>
      </c>
      <c r="AZ89" s="135">
        <v>36.62310608701331</v>
      </c>
      <c r="BA89" s="135">
        <v>23.40845739487971</v>
      </c>
      <c r="BB89" s="135"/>
      <c r="BC89" s="135">
        <v>6.266373593454507</v>
      </c>
    </row>
    <row r="90" ht="15.75" customHeight="1">
      <c r="C90" s="137"/>
      <c r="D90" s="138"/>
      <c r="E90" s="138"/>
      <c r="F90" s="138"/>
      <c r="J90" s="138"/>
      <c r="K90" s="138"/>
      <c r="L90" s="138"/>
      <c r="M90" s="139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32"/>
      <c r="AE90" s="140"/>
      <c r="AF90" s="140"/>
      <c r="AG90" s="140"/>
      <c r="AH90" s="140"/>
      <c r="AI90" s="140"/>
      <c r="AJ90" s="141"/>
      <c r="AK90" s="140"/>
      <c r="AL90" s="140"/>
      <c r="AM90" s="140"/>
      <c r="AN90" s="140"/>
      <c r="AO90" s="140"/>
      <c r="AP90" s="140"/>
      <c r="AQ90" s="138"/>
      <c r="AR90" s="140"/>
      <c r="AS90" s="140"/>
      <c r="AT90" s="140"/>
      <c r="AU90" s="140"/>
      <c r="AV90" s="138"/>
      <c r="AW90" s="138"/>
      <c r="AX90" s="140"/>
      <c r="AY90" s="140"/>
      <c r="AZ90" s="140"/>
      <c r="BA90" s="140"/>
      <c r="BB90" s="140"/>
      <c r="BC90" s="140"/>
    </row>
    <row r="91" ht="15.75" customHeight="1">
      <c r="C91" s="137"/>
      <c r="D91" s="138"/>
      <c r="E91" s="138"/>
      <c r="F91" s="138"/>
      <c r="J91" s="138"/>
      <c r="K91" s="138"/>
      <c r="L91" s="138"/>
      <c r="M91" s="139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32"/>
      <c r="AE91" s="140"/>
      <c r="AF91" s="140"/>
      <c r="AG91" s="140"/>
      <c r="AH91" s="140"/>
      <c r="AI91" s="140"/>
      <c r="AJ91" s="141"/>
      <c r="AK91" s="140"/>
      <c r="AL91" s="140"/>
      <c r="AM91" s="140"/>
      <c r="AN91" s="140"/>
      <c r="AO91" s="140"/>
      <c r="AP91" s="140"/>
      <c r="AQ91" s="138"/>
      <c r="AR91" s="140"/>
      <c r="AS91" s="140"/>
      <c r="AT91" s="140"/>
      <c r="AU91" s="140"/>
      <c r="AV91" s="138"/>
      <c r="AW91" s="138"/>
      <c r="AX91" s="140"/>
      <c r="AY91" s="140"/>
      <c r="AZ91" s="140"/>
      <c r="BA91" s="140"/>
      <c r="BB91" s="140"/>
      <c r="BC91" s="140"/>
    </row>
    <row r="92" ht="15.75" customHeight="1">
      <c r="C92" s="137"/>
      <c r="D92" s="138"/>
      <c r="E92" s="138"/>
      <c r="F92" s="138"/>
      <c r="J92" s="138"/>
      <c r="K92" s="138"/>
      <c r="L92" s="138"/>
      <c r="M92" s="139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32"/>
      <c r="AE92" s="140"/>
      <c r="AF92" s="140"/>
      <c r="AG92" s="140"/>
      <c r="AH92" s="140"/>
      <c r="AI92" s="140"/>
      <c r="AJ92" s="141"/>
      <c r="AK92" s="140"/>
      <c r="AL92" s="140"/>
      <c r="AM92" s="140"/>
      <c r="AN92" s="140"/>
      <c r="AO92" s="140"/>
      <c r="AP92" s="140"/>
      <c r="AQ92" s="138"/>
      <c r="AR92" s="140"/>
      <c r="AS92" s="140"/>
      <c r="AT92" s="140"/>
      <c r="AU92" s="140"/>
      <c r="AV92" s="138"/>
      <c r="AW92" s="138"/>
      <c r="AX92" s="140"/>
      <c r="AY92" s="140"/>
      <c r="AZ92" s="140"/>
      <c r="BA92" s="140"/>
      <c r="BB92" s="140"/>
      <c r="BC92" s="140"/>
    </row>
    <row r="93" ht="15.75" customHeight="1">
      <c r="C93" s="137"/>
      <c r="D93" s="138"/>
      <c r="E93" s="138"/>
      <c r="F93" s="138"/>
      <c r="J93" s="138"/>
      <c r="K93" s="138"/>
      <c r="L93" s="138"/>
      <c r="M93" s="139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32"/>
      <c r="AE93" s="140"/>
      <c r="AF93" s="140"/>
      <c r="AG93" s="140"/>
      <c r="AH93" s="140"/>
      <c r="AI93" s="140"/>
      <c r="AJ93" s="141"/>
      <c r="AK93" s="140"/>
      <c r="AL93" s="140"/>
      <c r="AM93" s="140"/>
      <c r="AN93" s="140"/>
      <c r="AO93" s="140"/>
      <c r="AP93" s="140"/>
      <c r="AQ93" s="138"/>
      <c r="AR93" s="140"/>
      <c r="AS93" s="140"/>
      <c r="AT93" s="140"/>
      <c r="AU93" s="140"/>
      <c r="AV93" s="138"/>
      <c r="AW93" s="138"/>
      <c r="AX93" s="140"/>
      <c r="AY93" s="140"/>
      <c r="AZ93" s="140"/>
      <c r="BA93" s="140"/>
      <c r="BB93" s="140"/>
      <c r="BC93" s="140"/>
    </row>
    <row r="94" ht="15.75" customHeight="1">
      <c r="C94" s="137"/>
      <c r="D94" s="138"/>
      <c r="E94" s="138"/>
      <c r="F94" s="138"/>
      <c r="J94" s="138"/>
      <c r="K94" s="138"/>
      <c r="L94" s="138"/>
      <c r="M94" s="139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32"/>
      <c r="AE94" s="140"/>
      <c r="AF94" s="140"/>
      <c r="AG94" s="140"/>
      <c r="AH94" s="140"/>
      <c r="AI94" s="140"/>
      <c r="AJ94" s="141"/>
      <c r="AK94" s="140"/>
      <c r="AL94" s="140"/>
      <c r="AM94" s="140"/>
      <c r="AN94" s="140"/>
      <c r="AO94" s="140"/>
      <c r="AP94" s="140"/>
      <c r="AQ94" s="138"/>
      <c r="AR94" s="140"/>
      <c r="AS94" s="140"/>
      <c r="AT94" s="140"/>
      <c r="AU94" s="140"/>
      <c r="AV94" s="138"/>
      <c r="AW94" s="138"/>
      <c r="AX94" s="140"/>
      <c r="AY94" s="140"/>
      <c r="AZ94" s="140"/>
      <c r="BA94" s="140"/>
      <c r="BB94" s="140"/>
      <c r="BC94" s="140"/>
    </row>
    <row r="95" ht="15.75" customHeight="1">
      <c r="C95" s="137"/>
      <c r="D95" s="138"/>
      <c r="E95" s="138"/>
      <c r="F95" s="138"/>
      <c r="J95" s="138"/>
      <c r="K95" s="138"/>
      <c r="L95" s="138"/>
      <c r="M95" s="139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32"/>
      <c r="AE95" s="140"/>
      <c r="AF95" s="140"/>
      <c r="AG95" s="140"/>
      <c r="AH95" s="140"/>
      <c r="AI95" s="140"/>
      <c r="AJ95" s="141"/>
      <c r="AK95" s="140"/>
      <c r="AL95" s="140"/>
      <c r="AM95" s="140"/>
      <c r="AN95" s="140"/>
      <c r="AO95" s="140"/>
      <c r="AP95" s="140"/>
      <c r="AQ95" s="138"/>
      <c r="AR95" s="140"/>
      <c r="AS95" s="140"/>
      <c r="AT95" s="140"/>
      <c r="AU95" s="140"/>
      <c r="AV95" s="138"/>
      <c r="AW95" s="138"/>
      <c r="AX95" s="140"/>
      <c r="AY95" s="140"/>
      <c r="AZ95" s="140"/>
      <c r="BA95" s="140"/>
      <c r="BB95" s="140"/>
      <c r="BC95" s="140"/>
    </row>
    <row r="96" ht="15.75" customHeight="1">
      <c r="C96" s="137"/>
      <c r="D96" s="138"/>
      <c r="E96" s="138"/>
      <c r="F96" s="138"/>
      <c r="J96" s="138"/>
      <c r="K96" s="138"/>
      <c r="L96" s="138"/>
      <c r="M96" s="139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32"/>
      <c r="AE96" s="140"/>
      <c r="AF96" s="140"/>
      <c r="AG96" s="140"/>
      <c r="AH96" s="140"/>
      <c r="AI96" s="140"/>
      <c r="AJ96" s="141"/>
      <c r="AK96" s="140"/>
      <c r="AL96" s="140"/>
      <c r="AM96" s="140"/>
      <c r="AN96" s="140"/>
      <c r="AO96" s="140"/>
      <c r="AP96" s="140"/>
      <c r="AQ96" s="138"/>
      <c r="AR96" s="140"/>
      <c r="AS96" s="140"/>
      <c r="AT96" s="140"/>
      <c r="AU96" s="140"/>
      <c r="AV96" s="138"/>
      <c r="AW96" s="138"/>
      <c r="AX96" s="140"/>
      <c r="AY96" s="140"/>
      <c r="AZ96" s="140"/>
      <c r="BA96" s="140"/>
      <c r="BB96" s="140"/>
      <c r="BC96" s="140"/>
    </row>
    <row r="97" ht="15.75" customHeight="1">
      <c r="C97" s="137"/>
      <c r="D97" s="138"/>
      <c r="E97" s="138"/>
      <c r="F97" s="138"/>
      <c r="J97" s="138"/>
      <c r="K97" s="138"/>
      <c r="L97" s="138"/>
      <c r="M97" s="139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32"/>
      <c r="AE97" s="140"/>
      <c r="AF97" s="140"/>
      <c r="AG97" s="140"/>
      <c r="AH97" s="140"/>
      <c r="AI97" s="140"/>
      <c r="AJ97" s="141"/>
      <c r="AK97" s="140"/>
      <c r="AL97" s="140"/>
      <c r="AM97" s="140"/>
      <c r="AN97" s="140"/>
      <c r="AO97" s="140"/>
      <c r="AP97" s="140"/>
      <c r="AQ97" s="138"/>
      <c r="AR97" s="140"/>
      <c r="AS97" s="140"/>
      <c r="AT97" s="140"/>
      <c r="AU97" s="140"/>
      <c r="AV97" s="138"/>
      <c r="AW97" s="138"/>
      <c r="AX97" s="140"/>
      <c r="AY97" s="140"/>
      <c r="AZ97" s="140"/>
      <c r="BA97" s="140"/>
      <c r="BB97" s="140"/>
      <c r="BC97" s="140"/>
    </row>
    <row r="98" ht="15.75" customHeight="1">
      <c r="C98" s="137"/>
      <c r="D98" s="138"/>
      <c r="E98" s="138"/>
      <c r="F98" s="138"/>
      <c r="J98" s="138"/>
      <c r="K98" s="138"/>
      <c r="L98" s="138"/>
      <c r="M98" s="139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32"/>
      <c r="AE98" s="140"/>
      <c r="AF98" s="140"/>
      <c r="AG98" s="140"/>
      <c r="AH98" s="140"/>
      <c r="AI98" s="140"/>
      <c r="AJ98" s="141"/>
      <c r="AK98" s="140"/>
      <c r="AL98" s="140"/>
      <c r="AM98" s="140"/>
      <c r="AN98" s="140"/>
      <c r="AO98" s="140"/>
      <c r="AP98" s="140"/>
      <c r="AQ98" s="138"/>
      <c r="AR98" s="140"/>
      <c r="AS98" s="140"/>
      <c r="AT98" s="140"/>
      <c r="AU98" s="140"/>
      <c r="AV98" s="138"/>
      <c r="AW98" s="138"/>
      <c r="AX98" s="140"/>
      <c r="AY98" s="140"/>
      <c r="AZ98" s="140"/>
      <c r="BA98" s="140"/>
      <c r="BB98" s="140"/>
      <c r="BC98" s="140"/>
    </row>
    <row r="99" ht="15.75" customHeight="1">
      <c r="C99" s="137"/>
      <c r="D99" s="138"/>
      <c r="E99" s="138"/>
      <c r="F99" s="138"/>
      <c r="J99" s="138"/>
      <c r="K99" s="138"/>
      <c r="L99" s="138"/>
      <c r="M99" s="139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32"/>
      <c r="AE99" s="140"/>
      <c r="AF99" s="140"/>
      <c r="AG99" s="140"/>
      <c r="AH99" s="140"/>
      <c r="AI99" s="140"/>
      <c r="AJ99" s="141"/>
      <c r="AK99" s="140"/>
      <c r="AL99" s="140"/>
      <c r="AM99" s="140"/>
      <c r="AN99" s="140"/>
      <c r="AO99" s="140"/>
      <c r="AP99" s="140"/>
      <c r="AQ99" s="138"/>
      <c r="AR99" s="140"/>
      <c r="AS99" s="140"/>
      <c r="AT99" s="140"/>
      <c r="AU99" s="140"/>
      <c r="AV99" s="138"/>
      <c r="AW99" s="138"/>
      <c r="AX99" s="140"/>
      <c r="AY99" s="140"/>
      <c r="AZ99" s="140"/>
      <c r="BA99" s="140"/>
      <c r="BB99" s="140"/>
      <c r="BC99" s="140"/>
    </row>
    <row r="100" ht="15.75" customHeight="1">
      <c r="C100" s="137"/>
      <c r="D100" s="138"/>
      <c r="E100" s="138"/>
      <c r="F100" s="138"/>
      <c r="J100" s="138"/>
      <c r="K100" s="138"/>
      <c r="L100" s="138"/>
      <c r="M100" s="139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32"/>
      <c r="AE100" s="140"/>
      <c r="AF100" s="140"/>
      <c r="AG100" s="140"/>
      <c r="AH100" s="140"/>
      <c r="AI100" s="140"/>
      <c r="AJ100" s="141"/>
      <c r="AK100" s="140"/>
      <c r="AL100" s="140"/>
      <c r="AM100" s="140"/>
      <c r="AN100" s="140"/>
      <c r="AO100" s="140"/>
      <c r="AP100" s="140"/>
      <c r="AQ100" s="138"/>
      <c r="AR100" s="140"/>
      <c r="AS100" s="140"/>
      <c r="AT100" s="140"/>
      <c r="AU100" s="140"/>
      <c r="AV100" s="138"/>
      <c r="AW100" s="138"/>
      <c r="AX100" s="140"/>
      <c r="AY100" s="140"/>
      <c r="AZ100" s="140"/>
      <c r="BA100" s="140"/>
      <c r="BB100" s="140"/>
      <c r="BC100" s="140"/>
    </row>
    <row r="101" ht="15.75" customHeight="1">
      <c r="C101" s="137"/>
      <c r="D101" s="138"/>
      <c r="E101" s="138"/>
      <c r="F101" s="138"/>
      <c r="J101" s="138"/>
      <c r="K101" s="138"/>
      <c r="L101" s="138"/>
      <c r="M101" s="139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32"/>
      <c r="AE101" s="140"/>
      <c r="AF101" s="140"/>
      <c r="AG101" s="140"/>
      <c r="AH101" s="140"/>
      <c r="AI101" s="140"/>
      <c r="AJ101" s="141"/>
      <c r="AK101" s="140"/>
      <c r="AL101" s="140"/>
      <c r="AM101" s="140"/>
      <c r="AN101" s="140"/>
      <c r="AO101" s="140"/>
      <c r="AP101" s="140"/>
      <c r="AQ101" s="138"/>
      <c r="AR101" s="140"/>
      <c r="AS101" s="140"/>
      <c r="AT101" s="140"/>
      <c r="AU101" s="140"/>
      <c r="AV101" s="138"/>
      <c r="AW101" s="138"/>
      <c r="AX101" s="140"/>
      <c r="AY101" s="140"/>
      <c r="AZ101" s="140"/>
      <c r="BA101" s="140"/>
      <c r="BB101" s="140"/>
      <c r="BC101" s="140"/>
    </row>
    <row r="102" ht="15.75" customHeight="1">
      <c r="C102" s="137"/>
      <c r="D102" s="138"/>
      <c r="E102" s="138"/>
      <c r="F102" s="138"/>
      <c r="J102" s="138"/>
      <c r="K102" s="138"/>
      <c r="L102" s="138"/>
      <c r="M102" s="139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32"/>
      <c r="AE102" s="140"/>
      <c r="AF102" s="140"/>
      <c r="AG102" s="140"/>
      <c r="AH102" s="140"/>
      <c r="AI102" s="140"/>
      <c r="AJ102" s="141"/>
      <c r="AK102" s="140"/>
      <c r="AL102" s="140"/>
      <c r="AM102" s="140"/>
      <c r="AN102" s="140"/>
      <c r="AO102" s="140"/>
      <c r="AP102" s="140"/>
      <c r="AQ102" s="138"/>
      <c r="AR102" s="140"/>
      <c r="AS102" s="140"/>
      <c r="AT102" s="140"/>
      <c r="AU102" s="140"/>
      <c r="AV102" s="138"/>
      <c r="AW102" s="138"/>
      <c r="AX102" s="140"/>
      <c r="AY102" s="140"/>
      <c r="AZ102" s="140"/>
      <c r="BA102" s="140"/>
      <c r="BB102" s="140"/>
      <c r="BC102" s="140"/>
    </row>
    <row r="103" ht="15.75" customHeight="1">
      <c r="C103" s="137"/>
      <c r="D103" s="138"/>
      <c r="E103" s="138"/>
      <c r="F103" s="138"/>
      <c r="J103" s="138"/>
      <c r="K103" s="138"/>
      <c r="L103" s="138"/>
      <c r="M103" s="139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32"/>
      <c r="AE103" s="140"/>
      <c r="AF103" s="140"/>
      <c r="AG103" s="140"/>
      <c r="AH103" s="140"/>
      <c r="AI103" s="140"/>
      <c r="AJ103" s="141"/>
      <c r="AK103" s="140"/>
      <c r="AL103" s="140"/>
      <c r="AM103" s="140"/>
      <c r="AN103" s="140"/>
      <c r="AO103" s="140"/>
      <c r="AP103" s="140"/>
      <c r="AQ103" s="138"/>
      <c r="AR103" s="140"/>
      <c r="AS103" s="140"/>
      <c r="AT103" s="140"/>
      <c r="AU103" s="140"/>
      <c r="AV103" s="138"/>
      <c r="AW103" s="138"/>
      <c r="AX103" s="140"/>
      <c r="AY103" s="140"/>
      <c r="AZ103" s="140"/>
      <c r="BA103" s="140"/>
      <c r="BB103" s="140"/>
      <c r="BC103" s="140"/>
    </row>
    <row r="104" ht="15.75" customHeight="1">
      <c r="C104" s="137"/>
      <c r="D104" s="138"/>
      <c r="E104" s="138"/>
      <c r="F104" s="138"/>
      <c r="J104" s="138"/>
      <c r="K104" s="138"/>
      <c r="L104" s="138"/>
      <c r="M104" s="139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32"/>
      <c r="AE104" s="140"/>
      <c r="AF104" s="140"/>
      <c r="AG104" s="140"/>
      <c r="AH104" s="140"/>
      <c r="AI104" s="140"/>
      <c r="AJ104" s="141"/>
      <c r="AK104" s="140"/>
      <c r="AL104" s="140"/>
      <c r="AM104" s="140"/>
      <c r="AN104" s="140"/>
      <c r="AO104" s="140"/>
      <c r="AP104" s="140"/>
      <c r="AQ104" s="138"/>
      <c r="AR104" s="140"/>
      <c r="AS104" s="140"/>
      <c r="AT104" s="140"/>
      <c r="AU104" s="140"/>
      <c r="AV104" s="138"/>
      <c r="AW104" s="138"/>
      <c r="AX104" s="140"/>
      <c r="AY104" s="140"/>
      <c r="AZ104" s="140"/>
      <c r="BA104" s="140"/>
      <c r="BB104" s="140"/>
      <c r="BC104" s="140"/>
    </row>
    <row r="105" ht="15.75" customHeight="1">
      <c r="C105" s="137"/>
      <c r="D105" s="138"/>
      <c r="E105" s="138"/>
      <c r="F105" s="138"/>
      <c r="J105" s="138"/>
      <c r="K105" s="138"/>
      <c r="L105" s="138"/>
      <c r="M105" s="139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32"/>
      <c r="AE105" s="140"/>
      <c r="AF105" s="140"/>
      <c r="AG105" s="140"/>
      <c r="AH105" s="140"/>
      <c r="AI105" s="140"/>
      <c r="AJ105" s="141"/>
      <c r="AK105" s="140"/>
      <c r="AL105" s="140"/>
      <c r="AM105" s="140"/>
      <c r="AN105" s="140"/>
      <c r="AO105" s="140"/>
      <c r="AP105" s="140"/>
      <c r="AQ105" s="138"/>
      <c r="AR105" s="140"/>
      <c r="AS105" s="140"/>
      <c r="AT105" s="140"/>
      <c r="AU105" s="140"/>
      <c r="AV105" s="138"/>
      <c r="AW105" s="138"/>
      <c r="AX105" s="140"/>
      <c r="AY105" s="140"/>
      <c r="AZ105" s="140"/>
      <c r="BA105" s="140"/>
      <c r="BB105" s="140"/>
      <c r="BC105" s="140"/>
    </row>
    <row r="106" ht="15.75" customHeight="1">
      <c r="C106" s="137"/>
      <c r="D106" s="138"/>
      <c r="E106" s="138"/>
      <c r="F106" s="138"/>
      <c r="J106" s="138"/>
      <c r="K106" s="138"/>
      <c r="L106" s="138"/>
      <c r="M106" s="139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32"/>
      <c r="AE106" s="140"/>
      <c r="AF106" s="140"/>
      <c r="AG106" s="140"/>
      <c r="AH106" s="140"/>
      <c r="AI106" s="140"/>
      <c r="AJ106" s="141"/>
      <c r="AK106" s="140"/>
      <c r="AL106" s="140"/>
      <c r="AM106" s="140"/>
      <c r="AN106" s="140"/>
      <c r="AO106" s="140"/>
      <c r="AP106" s="140"/>
      <c r="AQ106" s="138"/>
      <c r="AR106" s="140"/>
      <c r="AS106" s="140"/>
      <c r="AT106" s="140"/>
      <c r="AU106" s="140"/>
      <c r="AV106" s="138"/>
      <c r="AW106" s="138"/>
      <c r="AX106" s="140"/>
      <c r="AY106" s="140"/>
      <c r="AZ106" s="140"/>
      <c r="BA106" s="140"/>
      <c r="BB106" s="140"/>
      <c r="BC106" s="140"/>
    </row>
    <row r="107" ht="15.75" customHeight="1">
      <c r="C107" s="137"/>
      <c r="D107" s="138"/>
      <c r="E107" s="138"/>
      <c r="F107" s="138"/>
      <c r="J107" s="138"/>
      <c r="K107" s="138"/>
      <c r="L107" s="138"/>
      <c r="M107" s="139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32"/>
      <c r="AE107" s="140"/>
      <c r="AF107" s="140"/>
      <c r="AG107" s="140"/>
      <c r="AH107" s="140"/>
      <c r="AI107" s="140"/>
      <c r="AJ107" s="141"/>
      <c r="AK107" s="140"/>
      <c r="AL107" s="140"/>
      <c r="AM107" s="140"/>
      <c r="AN107" s="140"/>
      <c r="AO107" s="140"/>
      <c r="AP107" s="140"/>
      <c r="AQ107" s="138"/>
      <c r="AR107" s="140"/>
      <c r="AS107" s="140"/>
      <c r="AT107" s="140"/>
      <c r="AU107" s="140"/>
      <c r="AV107" s="138"/>
      <c r="AW107" s="138"/>
      <c r="AX107" s="140"/>
      <c r="AY107" s="140"/>
      <c r="AZ107" s="140"/>
      <c r="BA107" s="140"/>
      <c r="BB107" s="140"/>
      <c r="BC107" s="140"/>
    </row>
    <row r="108" ht="15.75" customHeight="1">
      <c r="C108" s="137"/>
      <c r="D108" s="138"/>
      <c r="E108" s="138"/>
      <c r="F108" s="138"/>
      <c r="J108" s="138"/>
      <c r="K108" s="138"/>
      <c r="L108" s="138"/>
      <c r="M108" s="139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32"/>
      <c r="AE108" s="140"/>
      <c r="AF108" s="140"/>
      <c r="AG108" s="140"/>
      <c r="AH108" s="140"/>
      <c r="AI108" s="140"/>
      <c r="AJ108" s="141"/>
      <c r="AK108" s="140"/>
      <c r="AL108" s="140"/>
      <c r="AM108" s="140"/>
      <c r="AN108" s="140"/>
      <c r="AO108" s="140"/>
      <c r="AP108" s="140"/>
      <c r="AQ108" s="138"/>
      <c r="AR108" s="140"/>
      <c r="AS108" s="140"/>
      <c r="AT108" s="140"/>
      <c r="AU108" s="140"/>
      <c r="AV108" s="138"/>
      <c r="AW108" s="138"/>
      <c r="AX108" s="140"/>
      <c r="AY108" s="140"/>
      <c r="AZ108" s="140"/>
      <c r="BA108" s="140"/>
      <c r="BB108" s="140"/>
      <c r="BC108" s="140"/>
    </row>
    <row r="109" ht="15.75" customHeight="1">
      <c r="C109" s="137"/>
      <c r="D109" s="138"/>
      <c r="E109" s="138"/>
      <c r="F109" s="138"/>
      <c r="J109" s="138"/>
      <c r="K109" s="138"/>
      <c r="L109" s="138"/>
      <c r="M109" s="139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32"/>
      <c r="AE109" s="140"/>
      <c r="AF109" s="140"/>
      <c r="AG109" s="140"/>
      <c r="AH109" s="140"/>
      <c r="AI109" s="140"/>
      <c r="AJ109" s="141"/>
      <c r="AK109" s="140"/>
      <c r="AL109" s="140"/>
      <c r="AM109" s="140"/>
      <c r="AN109" s="140"/>
      <c r="AO109" s="140"/>
      <c r="AP109" s="140"/>
      <c r="AQ109" s="138"/>
      <c r="AR109" s="140"/>
      <c r="AS109" s="140"/>
      <c r="AT109" s="140"/>
      <c r="AU109" s="140"/>
      <c r="AV109" s="138"/>
      <c r="AW109" s="138"/>
      <c r="AX109" s="140"/>
      <c r="AY109" s="140"/>
      <c r="AZ109" s="140"/>
      <c r="BA109" s="140"/>
      <c r="BB109" s="140"/>
      <c r="BC109" s="140"/>
    </row>
    <row r="110" ht="15.75" customHeight="1">
      <c r="C110" s="137"/>
      <c r="D110" s="138"/>
      <c r="E110" s="138"/>
      <c r="F110" s="138"/>
      <c r="J110" s="138"/>
      <c r="K110" s="138"/>
      <c r="L110" s="138"/>
      <c r="M110" s="139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32"/>
      <c r="AE110" s="140"/>
      <c r="AF110" s="140"/>
      <c r="AG110" s="140"/>
      <c r="AH110" s="140"/>
      <c r="AI110" s="140"/>
      <c r="AJ110" s="141"/>
      <c r="AK110" s="140"/>
      <c r="AL110" s="140"/>
      <c r="AM110" s="140"/>
      <c r="AN110" s="140"/>
      <c r="AO110" s="140"/>
      <c r="AP110" s="140"/>
      <c r="AQ110" s="138"/>
      <c r="AR110" s="140"/>
      <c r="AS110" s="140"/>
      <c r="AT110" s="140"/>
      <c r="AU110" s="140"/>
      <c r="AV110" s="138"/>
      <c r="AW110" s="138"/>
      <c r="AX110" s="140"/>
      <c r="AY110" s="140"/>
      <c r="AZ110" s="140"/>
      <c r="BA110" s="140"/>
      <c r="BB110" s="140"/>
      <c r="BC110" s="140"/>
    </row>
    <row r="111" ht="15.75" customHeight="1">
      <c r="C111" s="137"/>
      <c r="D111" s="138"/>
      <c r="E111" s="138"/>
      <c r="F111" s="138"/>
      <c r="J111" s="138"/>
      <c r="K111" s="138"/>
      <c r="L111" s="138"/>
      <c r="M111" s="139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32"/>
      <c r="AE111" s="140"/>
      <c r="AF111" s="140"/>
      <c r="AG111" s="140"/>
      <c r="AH111" s="140"/>
      <c r="AI111" s="140"/>
      <c r="AJ111" s="141"/>
      <c r="AK111" s="140"/>
      <c r="AL111" s="140"/>
      <c r="AM111" s="140"/>
      <c r="AN111" s="140"/>
      <c r="AO111" s="140"/>
      <c r="AP111" s="140"/>
      <c r="AQ111" s="138"/>
      <c r="AR111" s="140"/>
      <c r="AS111" s="140"/>
      <c r="AT111" s="140"/>
      <c r="AU111" s="140"/>
      <c r="AV111" s="138"/>
      <c r="AW111" s="138"/>
      <c r="AX111" s="140"/>
      <c r="AY111" s="140"/>
      <c r="AZ111" s="140"/>
      <c r="BA111" s="140"/>
      <c r="BB111" s="140"/>
      <c r="BC111" s="140"/>
    </row>
    <row r="112" ht="15.75" customHeight="1">
      <c r="C112" s="137"/>
      <c r="D112" s="138"/>
      <c r="E112" s="138"/>
      <c r="F112" s="138"/>
      <c r="J112" s="138"/>
      <c r="K112" s="138"/>
      <c r="L112" s="138"/>
      <c r="M112" s="139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32"/>
      <c r="AE112" s="140"/>
      <c r="AF112" s="140"/>
      <c r="AG112" s="140"/>
      <c r="AH112" s="140"/>
      <c r="AI112" s="140"/>
      <c r="AJ112" s="141"/>
      <c r="AK112" s="140"/>
      <c r="AL112" s="140"/>
      <c r="AM112" s="140"/>
      <c r="AN112" s="140"/>
      <c r="AO112" s="140"/>
      <c r="AP112" s="140"/>
      <c r="AQ112" s="138"/>
      <c r="AR112" s="140"/>
      <c r="AS112" s="140"/>
      <c r="AT112" s="140"/>
      <c r="AU112" s="140"/>
      <c r="AV112" s="138"/>
      <c r="AW112" s="138"/>
      <c r="AX112" s="140"/>
      <c r="AY112" s="140"/>
      <c r="AZ112" s="140"/>
      <c r="BA112" s="140"/>
      <c r="BB112" s="140"/>
      <c r="BC112" s="140"/>
    </row>
    <row r="113" ht="15.75" customHeight="1">
      <c r="C113" s="137"/>
      <c r="D113" s="138"/>
      <c r="E113" s="138"/>
      <c r="F113" s="138"/>
      <c r="J113" s="138"/>
      <c r="K113" s="138"/>
      <c r="L113" s="138"/>
      <c r="M113" s="139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32"/>
      <c r="AE113" s="140"/>
      <c r="AF113" s="140"/>
      <c r="AG113" s="140"/>
      <c r="AH113" s="140"/>
      <c r="AI113" s="140"/>
      <c r="AJ113" s="141"/>
      <c r="AK113" s="140"/>
      <c r="AL113" s="140"/>
      <c r="AM113" s="140"/>
      <c r="AN113" s="140"/>
      <c r="AO113" s="140"/>
      <c r="AP113" s="140"/>
      <c r="AQ113" s="138"/>
      <c r="AR113" s="140"/>
      <c r="AS113" s="140"/>
      <c r="AT113" s="140"/>
      <c r="AU113" s="140"/>
      <c r="AV113" s="138"/>
      <c r="AW113" s="138"/>
      <c r="AX113" s="140"/>
      <c r="AY113" s="140"/>
      <c r="AZ113" s="140"/>
      <c r="BA113" s="140"/>
      <c r="BB113" s="140"/>
      <c r="BC113" s="140"/>
    </row>
    <row r="114" ht="15.75" customHeight="1">
      <c r="C114" s="137"/>
      <c r="D114" s="138"/>
      <c r="E114" s="138"/>
      <c r="F114" s="138"/>
      <c r="J114" s="138"/>
      <c r="K114" s="138"/>
      <c r="L114" s="138"/>
      <c r="M114" s="139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32"/>
      <c r="AE114" s="140"/>
      <c r="AF114" s="140"/>
      <c r="AG114" s="140"/>
      <c r="AH114" s="140"/>
      <c r="AI114" s="140"/>
      <c r="AJ114" s="141"/>
      <c r="AK114" s="140"/>
      <c r="AL114" s="140"/>
      <c r="AM114" s="140"/>
      <c r="AN114" s="140"/>
      <c r="AO114" s="140"/>
      <c r="AP114" s="140"/>
      <c r="AQ114" s="138"/>
      <c r="AR114" s="140"/>
      <c r="AS114" s="140"/>
      <c r="AT114" s="140"/>
      <c r="AU114" s="140"/>
      <c r="AV114" s="138"/>
      <c r="AW114" s="138"/>
      <c r="AX114" s="140"/>
      <c r="AY114" s="140"/>
      <c r="AZ114" s="140"/>
      <c r="BA114" s="140"/>
      <c r="BB114" s="140"/>
      <c r="BC114" s="140"/>
    </row>
    <row r="115" ht="15.75" customHeight="1">
      <c r="C115" s="137"/>
      <c r="D115" s="138"/>
      <c r="E115" s="138"/>
      <c r="F115" s="138"/>
      <c r="J115" s="138"/>
      <c r="K115" s="138"/>
      <c r="L115" s="138"/>
      <c r="M115" s="139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32"/>
      <c r="AE115" s="140"/>
      <c r="AF115" s="140"/>
      <c r="AG115" s="140"/>
      <c r="AH115" s="140"/>
      <c r="AI115" s="140"/>
      <c r="AJ115" s="141"/>
      <c r="AK115" s="140"/>
      <c r="AL115" s="140"/>
      <c r="AM115" s="140"/>
      <c r="AN115" s="140"/>
      <c r="AO115" s="140"/>
      <c r="AP115" s="140"/>
      <c r="AQ115" s="138"/>
      <c r="AR115" s="140"/>
      <c r="AS115" s="140"/>
      <c r="AT115" s="140"/>
      <c r="AU115" s="140"/>
      <c r="AV115" s="138"/>
      <c r="AW115" s="138"/>
      <c r="AX115" s="140"/>
      <c r="AY115" s="140"/>
      <c r="AZ115" s="140"/>
      <c r="BA115" s="140"/>
      <c r="BB115" s="140"/>
      <c r="BC115" s="140"/>
    </row>
    <row r="116" ht="15.75" customHeight="1">
      <c r="C116" s="137"/>
      <c r="D116" s="138"/>
      <c r="E116" s="138"/>
      <c r="F116" s="138"/>
      <c r="J116" s="138"/>
      <c r="K116" s="138"/>
      <c r="L116" s="138"/>
      <c r="M116" s="139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32"/>
      <c r="AE116" s="140"/>
      <c r="AF116" s="140"/>
      <c r="AG116" s="140"/>
      <c r="AH116" s="140"/>
      <c r="AI116" s="140"/>
      <c r="AJ116" s="141"/>
      <c r="AK116" s="140"/>
      <c r="AL116" s="140"/>
      <c r="AM116" s="140"/>
      <c r="AN116" s="140"/>
      <c r="AO116" s="140"/>
      <c r="AP116" s="140"/>
      <c r="AQ116" s="138"/>
      <c r="AR116" s="140"/>
      <c r="AS116" s="140"/>
      <c r="AT116" s="140"/>
      <c r="AU116" s="140"/>
      <c r="AV116" s="138"/>
      <c r="AW116" s="138"/>
      <c r="AX116" s="140"/>
      <c r="AY116" s="140"/>
      <c r="AZ116" s="140"/>
      <c r="BA116" s="140"/>
      <c r="BB116" s="140"/>
      <c r="BC116" s="140"/>
    </row>
    <row r="117" ht="15.75" customHeight="1">
      <c r="C117" s="137"/>
      <c r="D117" s="138"/>
      <c r="E117" s="138"/>
      <c r="F117" s="138"/>
      <c r="J117" s="138"/>
      <c r="K117" s="138"/>
      <c r="L117" s="138"/>
      <c r="M117" s="139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32"/>
      <c r="AE117" s="140"/>
      <c r="AF117" s="140"/>
      <c r="AG117" s="140"/>
      <c r="AH117" s="140"/>
      <c r="AI117" s="140"/>
      <c r="AJ117" s="141"/>
      <c r="AK117" s="140"/>
      <c r="AL117" s="140"/>
      <c r="AM117" s="140"/>
      <c r="AN117" s="140"/>
      <c r="AO117" s="140"/>
      <c r="AP117" s="140"/>
      <c r="AQ117" s="138"/>
      <c r="AR117" s="140"/>
      <c r="AS117" s="140"/>
      <c r="AT117" s="140"/>
      <c r="AU117" s="140"/>
      <c r="AV117" s="138"/>
      <c r="AW117" s="138"/>
      <c r="AX117" s="140"/>
      <c r="AY117" s="140"/>
      <c r="AZ117" s="140"/>
      <c r="BA117" s="140"/>
      <c r="BB117" s="140"/>
      <c r="BC117" s="140"/>
    </row>
    <row r="118" ht="15.75" customHeight="1">
      <c r="C118" s="137"/>
      <c r="D118" s="138"/>
      <c r="E118" s="138"/>
      <c r="F118" s="138"/>
      <c r="J118" s="138"/>
      <c r="K118" s="138"/>
      <c r="L118" s="138"/>
      <c r="M118" s="139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32"/>
      <c r="AE118" s="140"/>
      <c r="AF118" s="140"/>
      <c r="AG118" s="140"/>
      <c r="AH118" s="140"/>
      <c r="AI118" s="140"/>
      <c r="AJ118" s="141"/>
      <c r="AK118" s="140"/>
      <c r="AL118" s="140"/>
      <c r="AM118" s="140"/>
      <c r="AN118" s="140"/>
      <c r="AO118" s="140"/>
      <c r="AP118" s="140"/>
      <c r="AQ118" s="138"/>
      <c r="AR118" s="140"/>
      <c r="AS118" s="140"/>
      <c r="AT118" s="140"/>
      <c r="AU118" s="140"/>
      <c r="AV118" s="138"/>
      <c r="AW118" s="138"/>
      <c r="AX118" s="140"/>
      <c r="AY118" s="140"/>
      <c r="AZ118" s="140"/>
      <c r="BA118" s="140"/>
      <c r="BB118" s="140"/>
      <c r="BC118" s="140"/>
    </row>
    <row r="119" ht="15.75" customHeight="1">
      <c r="C119" s="137"/>
      <c r="D119" s="138"/>
      <c r="E119" s="138"/>
      <c r="F119" s="138"/>
      <c r="J119" s="138"/>
      <c r="K119" s="138"/>
      <c r="L119" s="138"/>
      <c r="M119" s="139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32"/>
      <c r="AE119" s="140"/>
      <c r="AF119" s="140"/>
      <c r="AG119" s="140"/>
      <c r="AH119" s="140"/>
      <c r="AI119" s="140"/>
      <c r="AJ119" s="141"/>
      <c r="AK119" s="140"/>
      <c r="AL119" s="140"/>
      <c r="AM119" s="140"/>
      <c r="AN119" s="140"/>
      <c r="AO119" s="140"/>
      <c r="AP119" s="140"/>
      <c r="AQ119" s="138"/>
      <c r="AR119" s="140"/>
      <c r="AS119" s="140"/>
      <c r="AT119" s="140"/>
      <c r="AU119" s="140"/>
      <c r="AV119" s="138"/>
      <c r="AW119" s="138"/>
      <c r="AX119" s="140"/>
      <c r="AY119" s="140"/>
      <c r="AZ119" s="140"/>
      <c r="BA119" s="140"/>
      <c r="BB119" s="140"/>
      <c r="BC119" s="140"/>
    </row>
    <row r="120" ht="15.75" customHeight="1">
      <c r="C120" s="137"/>
      <c r="D120" s="138"/>
      <c r="E120" s="138"/>
      <c r="F120" s="138"/>
      <c r="J120" s="138"/>
      <c r="K120" s="138"/>
      <c r="L120" s="138"/>
      <c r="M120" s="139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32"/>
      <c r="AE120" s="140"/>
      <c r="AF120" s="140"/>
      <c r="AG120" s="140"/>
      <c r="AH120" s="140"/>
      <c r="AI120" s="140"/>
      <c r="AJ120" s="141"/>
      <c r="AK120" s="140"/>
      <c r="AL120" s="140"/>
      <c r="AM120" s="140"/>
      <c r="AN120" s="140"/>
      <c r="AO120" s="140"/>
      <c r="AP120" s="140"/>
      <c r="AQ120" s="138"/>
      <c r="AR120" s="140"/>
      <c r="AS120" s="140"/>
      <c r="AT120" s="140"/>
      <c r="AU120" s="140"/>
      <c r="AV120" s="138"/>
      <c r="AW120" s="138"/>
      <c r="AX120" s="140"/>
      <c r="AY120" s="140"/>
      <c r="AZ120" s="140"/>
      <c r="BA120" s="140"/>
      <c r="BB120" s="140"/>
      <c r="BC120" s="140"/>
    </row>
    <row r="121" ht="15.75" customHeight="1">
      <c r="C121" s="137"/>
      <c r="D121" s="138"/>
      <c r="E121" s="138"/>
      <c r="F121" s="138"/>
      <c r="J121" s="138"/>
      <c r="K121" s="138"/>
      <c r="L121" s="138"/>
      <c r="M121" s="139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32"/>
      <c r="AE121" s="140"/>
      <c r="AF121" s="140"/>
      <c r="AG121" s="140"/>
      <c r="AH121" s="140"/>
      <c r="AI121" s="140"/>
      <c r="AJ121" s="141"/>
      <c r="AK121" s="140"/>
      <c r="AL121" s="140"/>
      <c r="AM121" s="140"/>
      <c r="AN121" s="140"/>
      <c r="AO121" s="140"/>
      <c r="AP121" s="140"/>
      <c r="AQ121" s="138"/>
      <c r="AR121" s="140"/>
      <c r="AS121" s="140"/>
      <c r="AT121" s="140"/>
      <c r="AU121" s="140"/>
      <c r="AV121" s="138"/>
      <c r="AW121" s="138"/>
      <c r="AX121" s="140"/>
      <c r="AY121" s="140"/>
      <c r="AZ121" s="140"/>
      <c r="BA121" s="140"/>
      <c r="BB121" s="140"/>
      <c r="BC121" s="140"/>
    </row>
    <row r="122" ht="15.75" customHeight="1">
      <c r="C122" s="137"/>
      <c r="D122" s="138"/>
      <c r="E122" s="138"/>
      <c r="F122" s="138"/>
      <c r="J122" s="138"/>
      <c r="K122" s="138"/>
      <c r="L122" s="138"/>
      <c r="M122" s="139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32"/>
      <c r="AE122" s="140"/>
      <c r="AF122" s="140"/>
      <c r="AG122" s="140"/>
      <c r="AH122" s="140"/>
      <c r="AI122" s="140"/>
      <c r="AJ122" s="141"/>
      <c r="AK122" s="140"/>
      <c r="AL122" s="140"/>
      <c r="AM122" s="140"/>
      <c r="AN122" s="140"/>
      <c r="AO122" s="140"/>
      <c r="AP122" s="140"/>
      <c r="AQ122" s="138"/>
      <c r="AR122" s="140"/>
      <c r="AS122" s="140"/>
      <c r="AT122" s="140"/>
      <c r="AU122" s="140"/>
      <c r="AV122" s="138"/>
      <c r="AW122" s="138"/>
      <c r="AX122" s="140"/>
      <c r="AY122" s="140"/>
      <c r="AZ122" s="140"/>
      <c r="BA122" s="140"/>
      <c r="BB122" s="140"/>
      <c r="BC122" s="140"/>
    </row>
    <row r="123" ht="15.75" customHeight="1">
      <c r="C123" s="137"/>
      <c r="D123" s="138"/>
      <c r="E123" s="138"/>
      <c r="F123" s="138"/>
      <c r="J123" s="138"/>
      <c r="K123" s="138"/>
      <c r="L123" s="138"/>
      <c r="M123" s="139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32"/>
      <c r="AE123" s="140"/>
      <c r="AF123" s="140"/>
      <c r="AG123" s="140"/>
      <c r="AH123" s="140"/>
      <c r="AI123" s="140"/>
      <c r="AJ123" s="141"/>
      <c r="AK123" s="140"/>
      <c r="AL123" s="140"/>
      <c r="AM123" s="140"/>
      <c r="AN123" s="140"/>
      <c r="AO123" s="140"/>
      <c r="AP123" s="140"/>
      <c r="AQ123" s="138"/>
      <c r="AR123" s="140"/>
      <c r="AS123" s="140"/>
      <c r="AT123" s="140"/>
      <c r="AU123" s="140"/>
      <c r="AV123" s="138"/>
      <c r="AW123" s="138"/>
      <c r="AX123" s="140"/>
      <c r="AY123" s="140"/>
      <c r="AZ123" s="140"/>
      <c r="BA123" s="140"/>
      <c r="BB123" s="140"/>
      <c r="BC123" s="140"/>
    </row>
    <row r="124" ht="15.75" customHeight="1">
      <c r="C124" s="137"/>
      <c r="D124" s="138"/>
      <c r="E124" s="138"/>
      <c r="F124" s="138"/>
      <c r="J124" s="138"/>
      <c r="K124" s="138"/>
      <c r="L124" s="138"/>
      <c r="M124" s="139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32"/>
      <c r="AE124" s="140"/>
      <c r="AF124" s="140"/>
      <c r="AG124" s="140"/>
      <c r="AH124" s="140"/>
      <c r="AI124" s="140"/>
      <c r="AJ124" s="141"/>
      <c r="AK124" s="140"/>
      <c r="AL124" s="140"/>
      <c r="AM124" s="140"/>
      <c r="AN124" s="140"/>
      <c r="AO124" s="140"/>
      <c r="AP124" s="140"/>
      <c r="AQ124" s="138"/>
      <c r="AR124" s="140"/>
      <c r="AS124" s="140"/>
      <c r="AT124" s="140"/>
      <c r="AU124" s="140"/>
      <c r="AV124" s="138"/>
      <c r="AW124" s="138"/>
      <c r="AX124" s="140"/>
      <c r="AY124" s="140"/>
      <c r="AZ124" s="140"/>
      <c r="BA124" s="140"/>
      <c r="BB124" s="140"/>
      <c r="BC124" s="140"/>
    </row>
    <row r="125" ht="15.75" customHeight="1">
      <c r="C125" s="137"/>
      <c r="D125" s="138"/>
      <c r="E125" s="138"/>
      <c r="F125" s="138"/>
      <c r="J125" s="138"/>
      <c r="K125" s="138"/>
      <c r="L125" s="138"/>
      <c r="M125" s="139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32"/>
      <c r="AE125" s="140"/>
      <c r="AF125" s="140"/>
      <c r="AG125" s="140"/>
      <c r="AH125" s="140"/>
      <c r="AI125" s="140"/>
      <c r="AJ125" s="141"/>
      <c r="AK125" s="140"/>
      <c r="AL125" s="140"/>
      <c r="AM125" s="140"/>
      <c r="AN125" s="140"/>
      <c r="AO125" s="140"/>
      <c r="AP125" s="140"/>
      <c r="AQ125" s="138"/>
      <c r="AR125" s="140"/>
      <c r="AS125" s="140"/>
      <c r="AT125" s="140"/>
      <c r="AU125" s="140"/>
      <c r="AV125" s="138"/>
      <c r="AW125" s="138"/>
      <c r="AX125" s="140"/>
      <c r="AY125" s="140"/>
      <c r="AZ125" s="140"/>
      <c r="BA125" s="140"/>
      <c r="BB125" s="140"/>
      <c r="BC125" s="140"/>
    </row>
    <row r="126" ht="15.75" customHeight="1">
      <c r="C126" s="137"/>
      <c r="D126" s="138"/>
      <c r="E126" s="138"/>
      <c r="F126" s="138"/>
      <c r="J126" s="138"/>
      <c r="K126" s="138"/>
      <c r="L126" s="138"/>
      <c r="M126" s="139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32"/>
      <c r="AE126" s="140"/>
      <c r="AF126" s="140"/>
      <c r="AG126" s="140"/>
      <c r="AH126" s="140"/>
      <c r="AI126" s="140"/>
      <c r="AJ126" s="141"/>
      <c r="AK126" s="140"/>
      <c r="AL126" s="140"/>
      <c r="AM126" s="140"/>
      <c r="AN126" s="140"/>
      <c r="AO126" s="140"/>
      <c r="AP126" s="140"/>
      <c r="AQ126" s="138"/>
      <c r="AR126" s="140"/>
      <c r="AS126" s="140"/>
      <c r="AT126" s="140"/>
      <c r="AU126" s="140"/>
      <c r="AV126" s="138"/>
      <c r="AW126" s="138"/>
      <c r="AX126" s="140"/>
      <c r="AY126" s="140"/>
      <c r="AZ126" s="140"/>
      <c r="BA126" s="140"/>
      <c r="BB126" s="140"/>
      <c r="BC126" s="140"/>
    </row>
    <row r="127" ht="15.75" customHeight="1">
      <c r="C127" s="137"/>
      <c r="D127" s="138"/>
      <c r="E127" s="138"/>
      <c r="F127" s="138"/>
      <c r="J127" s="138"/>
      <c r="K127" s="138"/>
      <c r="L127" s="138"/>
      <c r="M127" s="139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32"/>
      <c r="AE127" s="140"/>
      <c r="AF127" s="140"/>
      <c r="AG127" s="140"/>
      <c r="AH127" s="140"/>
      <c r="AI127" s="140"/>
      <c r="AJ127" s="141"/>
      <c r="AK127" s="140"/>
      <c r="AL127" s="140"/>
      <c r="AM127" s="140"/>
      <c r="AN127" s="140"/>
      <c r="AO127" s="140"/>
      <c r="AP127" s="140"/>
      <c r="AQ127" s="138"/>
      <c r="AR127" s="140"/>
      <c r="AS127" s="140"/>
      <c r="AT127" s="140"/>
      <c r="AU127" s="140"/>
      <c r="AV127" s="138"/>
      <c r="AW127" s="138"/>
      <c r="AX127" s="140"/>
      <c r="AY127" s="140"/>
      <c r="AZ127" s="140"/>
      <c r="BA127" s="140"/>
      <c r="BB127" s="140"/>
      <c r="BC127" s="140"/>
    </row>
    <row r="128" ht="15.75" customHeight="1">
      <c r="C128" s="137"/>
      <c r="D128" s="138"/>
      <c r="E128" s="138"/>
      <c r="F128" s="138"/>
      <c r="J128" s="138"/>
      <c r="K128" s="138"/>
      <c r="L128" s="138"/>
      <c r="M128" s="139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32"/>
      <c r="AE128" s="140"/>
      <c r="AF128" s="140"/>
      <c r="AG128" s="140"/>
      <c r="AH128" s="140"/>
      <c r="AI128" s="140"/>
      <c r="AJ128" s="141"/>
      <c r="AK128" s="140"/>
      <c r="AL128" s="140"/>
      <c r="AM128" s="140"/>
      <c r="AN128" s="140"/>
      <c r="AO128" s="140"/>
      <c r="AP128" s="140"/>
      <c r="AQ128" s="138"/>
      <c r="AR128" s="140"/>
      <c r="AS128" s="140"/>
      <c r="AT128" s="140"/>
      <c r="AU128" s="140"/>
      <c r="AV128" s="138"/>
      <c r="AW128" s="138"/>
      <c r="AX128" s="140"/>
      <c r="AY128" s="140"/>
      <c r="AZ128" s="140"/>
      <c r="BA128" s="140"/>
      <c r="BB128" s="140"/>
      <c r="BC128" s="140"/>
    </row>
    <row r="129" ht="15.75" customHeight="1">
      <c r="C129" s="137"/>
      <c r="D129" s="138"/>
      <c r="E129" s="138"/>
      <c r="F129" s="138"/>
      <c r="J129" s="138"/>
      <c r="K129" s="138"/>
      <c r="L129" s="138"/>
      <c r="M129" s="139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32"/>
      <c r="AE129" s="140"/>
      <c r="AF129" s="140"/>
      <c r="AG129" s="140"/>
      <c r="AH129" s="140"/>
      <c r="AI129" s="140"/>
      <c r="AJ129" s="141"/>
      <c r="AK129" s="140"/>
      <c r="AL129" s="140"/>
      <c r="AM129" s="140"/>
      <c r="AN129" s="140"/>
      <c r="AO129" s="140"/>
      <c r="AP129" s="140"/>
      <c r="AQ129" s="138"/>
      <c r="AR129" s="140"/>
      <c r="AS129" s="140"/>
      <c r="AT129" s="140"/>
      <c r="AU129" s="140"/>
      <c r="AV129" s="138"/>
      <c r="AW129" s="138"/>
      <c r="AX129" s="140"/>
      <c r="AY129" s="140"/>
      <c r="AZ129" s="140"/>
      <c r="BA129" s="140"/>
      <c r="BB129" s="140"/>
      <c r="BC129" s="140"/>
    </row>
    <row r="130" ht="15.75" customHeight="1">
      <c r="C130" s="137"/>
      <c r="D130" s="138"/>
      <c r="E130" s="138"/>
      <c r="F130" s="138"/>
      <c r="J130" s="138"/>
      <c r="K130" s="138"/>
      <c r="L130" s="138"/>
      <c r="M130" s="139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32"/>
      <c r="AE130" s="140"/>
      <c r="AF130" s="140"/>
      <c r="AG130" s="140"/>
      <c r="AH130" s="140"/>
      <c r="AI130" s="140"/>
      <c r="AJ130" s="141"/>
      <c r="AK130" s="140"/>
      <c r="AL130" s="140"/>
      <c r="AM130" s="140"/>
      <c r="AN130" s="140"/>
      <c r="AO130" s="140"/>
      <c r="AP130" s="140"/>
      <c r="AQ130" s="138"/>
      <c r="AR130" s="140"/>
      <c r="AS130" s="140"/>
      <c r="AT130" s="140"/>
      <c r="AU130" s="140"/>
      <c r="AV130" s="138"/>
      <c r="AW130" s="138"/>
      <c r="AX130" s="140"/>
      <c r="AY130" s="140"/>
      <c r="AZ130" s="140"/>
      <c r="BA130" s="140"/>
      <c r="BB130" s="140"/>
      <c r="BC130" s="140"/>
    </row>
    <row r="131" ht="15.75" customHeight="1">
      <c r="C131" s="137"/>
      <c r="D131" s="138"/>
      <c r="E131" s="138"/>
      <c r="F131" s="138"/>
      <c r="J131" s="138"/>
      <c r="K131" s="138"/>
      <c r="L131" s="138"/>
      <c r="M131" s="139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32"/>
      <c r="AE131" s="140"/>
      <c r="AF131" s="140"/>
      <c r="AG131" s="140"/>
      <c r="AH131" s="140"/>
      <c r="AI131" s="140"/>
      <c r="AJ131" s="141"/>
      <c r="AK131" s="140"/>
      <c r="AL131" s="140"/>
      <c r="AM131" s="140"/>
      <c r="AN131" s="140"/>
      <c r="AO131" s="140"/>
      <c r="AP131" s="140"/>
      <c r="AQ131" s="138"/>
      <c r="AR131" s="140"/>
      <c r="AS131" s="140"/>
      <c r="AT131" s="140"/>
      <c r="AU131" s="140"/>
      <c r="AV131" s="138"/>
      <c r="AW131" s="138"/>
      <c r="AX131" s="140"/>
      <c r="AY131" s="140"/>
      <c r="AZ131" s="140"/>
      <c r="BA131" s="140"/>
      <c r="BB131" s="140"/>
      <c r="BC131" s="140"/>
    </row>
    <row r="132" ht="15.75" customHeight="1">
      <c r="C132" s="137"/>
      <c r="D132" s="138"/>
      <c r="E132" s="138"/>
      <c r="F132" s="138"/>
      <c r="J132" s="138"/>
      <c r="K132" s="138"/>
      <c r="L132" s="138"/>
      <c r="M132" s="139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32"/>
      <c r="AE132" s="140"/>
      <c r="AF132" s="140"/>
      <c r="AG132" s="140"/>
      <c r="AH132" s="140"/>
      <c r="AI132" s="140"/>
      <c r="AJ132" s="141"/>
      <c r="AK132" s="140"/>
      <c r="AL132" s="140"/>
      <c r="AM132" s="140"/>
      <c r="AN132" s="140"/>
      <c r="AO132" s="140"/>
      <c r="AP132" s="140"/>
      <c r="AQ132" s="138"/>
      <c r="AR132" s="140"/>
      <c r="AS132" s="140"/>
      <c r="AT132" s="140"/>
      <c r="AU132" s="140"/>
      <c r="AV132" s="138"/>
      <c r="AW132" s="138"/>
      <c r="AX132" s="140"/>
      <c r="AY132" s="140"/>
      <c r="AZ132" s="140"/>
      <c r="BA132" s="140"/>
      <c r="BB132" s="140"/>
      <c r="BC132" s="140"/>
    </row>
    <row r="133" ht="15.75" customHeight="1">
      <c r="C133" s="137"/>
      <c r="D133" s="138"/>
      <c r="E133" s="138"/>
      <c r="F133" s="138"/>
      <c r="J133" s="138"/>
      <c r="K133" s="138"/>
      <c r="L133" s="138"/>
      <c r="M133" s="139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32"/>
      <c r="AE133" s="140"/>
      <c r="AF133" s="140"/>
      <c r="AG133" s="140"/>
      <c r="AH133" s="140"/>
      <c r="AI133" s="140"/>
      <c r="AJ133" s="141"/>
      <c r="AK133" s="140"/>
      <c r="AL133" s="140"/>
      <c r="AM133" s="140"/>
      <c r="AN133" s="140"/>
      <c r="AO133" s="140"/>
      <c r="AP133" s="140"/>
      <c r="AQ133" s="138"/>
      <c r="AR133" s="140"/>
      <c r="AS133" s="140"/>
      <c r="AT133" s="140"/>
      <c r="AU133" s="140"/>
      <c r="AV133" s="138"/>
      <c r="AW133" s="138"/>
      <c r="AX133" s="140"/>
      <c r="AY133" s="140"/>
      <c r="AZ133" s="140"/>
      <c r="BA133" s="140"/>
      <c r="BB133" s="140"/>
      <c r="BC133" s="140"/>
    </row>
    <row r="134" ht="15.75" customHeight="1">
      <c r="C134" s="137"/>
      <c r="D134" s="138"/>
      <c r="E134" s="138"/>
      <c r="F134" s="138"/>
      <c r="J134" s="138"/>
      <c r="K134" s="138"/>
      <c r="L134" s="138"/>
      <c r="M134" s="139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32"/>
      <c r="AE134" s="140"/>
      <c r="AF134" s="140"/>
      <c r="AG134" s="140"/>
      <c r="AH134" s="140"/>
      <c r="AI134" s="140"/>
      <c r="AJ134" s="141"/>
      <c r="AK134" s="140"/>
      <c r="AL134" s="140"/>
      <c r="AM134" s="140"/>
      <c r="AN134" s="140"/>
      <c r="AO134" s="140"/>
      <c r="AP134" s="140"/>
      <c r="AQ134" s="138"/>
      <c r="AR134" s="140"/>
      <c r="AS134" s="140"/>
      <c r="AT134" s="140"/>
      <c r="AU134" s="140"/>
      <c r="AV134" s="138"/>
      <c r="AW134" s="138"/>
      <c r="AX134" s="140"/>
      <c r="AY134" s="140"/>
      <c r="AZ134" s="140"/>
      <c r="BA134" s="140"/>
      <c r="BB134" s="140"/>
      <c r="BC134" s="140"/>
    </row>
    <row r="135" ht="15.75" customHeight="1">
      <c r="C135" s="137"/>
      <c r="D135" s="138"/>
      <c r="E135" s="138"/>
      <c r="F135" s="138"/>
      <c r="J135" s="138"/>
      <c r="K135" s="138"/>
      <c r="L135" s="138"/>
      <c r="M135" s="139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32"/>
      <c r="AE135" s="140"/>
      <c r="AF135" s="140"/>
      <c r="AG135" s="140"/>
      <c r="AH135" s="140"/>
      <c r="AI135" s="140"/>
      <c r="AJ135" s="141"/>
      <c r="AK135" s="140"/>
      <c r="AL135" s="140"/>
      <c r="AM135" s="140"/>
      <c r="AN135" s="140"/>
      <c r="AO135" s="140"/>
      <c r="AP135" s="140"/>
      <c r="AQ135" s="138"/>
      <c r="AR135" s="140"/>
      <c r="AS135" s="140"/>
      <c r="AT135" s="140"/>
      <c r="AU135" s="140"/>
      <c r="AV135" s="138"/>
      <c r="AW135" s="138"/>
      <c r="AX135" s="140"/>
      <c r="AY135" s="140"/>
      <c r="AZ135" s="140"/>
      <c r="BA135" s="140"/>
      <c r="BB135" s="140"/>
      <c r="BC135" s="140"/>
    </row>
    <row r="136" ht="15.75" customHeight="1">
      <c r="C136" s="137"/>
      <c r="D136" s="138"/>
      <c r="E136" s="138"/>
      <c r="F136" s="138"/>
      <c r="J136" s="138"/>
      <c r="K136" s="138"/>
      <c r="L136" s="138"/>
      <c r="M136" s="139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32"/>
      <c r="AE136" s="140"/>
      <c r="AF136" s="140"/>
      <c r="AG136" s="140"/>
      <c r="AH136" s="140"/>
      <c r="AI136" s="140"/>
      <c r="AJ136" s="141"/>
      <c r="AK136" s="140"/>
      <c r="AL136" s="140"/>
      <c r="AM136" s="140"/>
      <c r="AN136" s="140"/>
      <c r="AO136" s="140"/>
      <c r="AP136" s="140"/>
      <c r="AQ136" s="138"/>
      <c r="AR136" s="140"/>
      <c r="AS136" s="140"/>
      <c r="AT136" s="140"/>
      <c r="AU136" s="140"/>
      <c r="AV136" s="138"/>
      <c r="AW136" s="138"/>
      <c r="AX136" s="140"/>
      <c r="AY136" s="140"/>
      <c r="AZ136" s="140"/>
      <c r="BA136" s="140"/>
      <c r="BB136" s="140"/>
      <c r="BC136" s="140"/>
    </row>
    <row r="137" ht="15.75" customHeight="1">
      <c r="C137" s="137"/>
      <c r="D137" s="138"/>
      <c r="E137" s="138"/>
      <c r="F137" s="138"/>
      <c r="J137" s="138"/>
      <c r="K137" s="138"/>
      <c r="L137" s="138"/>
      <c r="M137" s="139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32"/>
      <c r="AE137" s="140"/>
      <c r="AF137" s="140"/>
      <c r="AG137" s="140"/>
      <c r="AH137" s="140"/>
      <c r="AI137" s="140"/>
      <c r="AJ137" s="141"/>
      <c r="AK137" s="140"/>
      <c r="AL137" s="140"/>
      <c r="AM137" s="140"/>
      <c r="AN137" s="140"/>
      <c r="AO137" s="140"/>
      <c r="AP137" s="140"/>
      <c r="AQ137" s="138"/>
      <c r="AR137" s="140"/>
      <c r="AS137" s="140"/>
      <c r="AT137" s="140"/>
      <c r="AU137" s="140"/>
      <c r="AV137" s="138"/>
      <c r="AW137" s="138"/>
      <c r="AX137" s="140"/>
      <c r="AY137" s="140"/>
      <c r="AZ137" s="140"/>
      <c r="BA137" s="140"/>
      <c r="BB137" s="140"/>
      <c r="BC137" s="140"/>
    </row>
    <row r="138" ht="15.75" customHeight="1">
      <c r="C138" s="137"/>
      <c r="D138" s="138"/>
      <c r="E138" s="138"/>
      <c r="F138" s="138"/>
      <c r="J138" s="138"/>
      <c r="K138" s="138"/>
      <c r="L138" s="138"/>
      <c r="M138" s="139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32"/>
      <c r="AE138" s="140"/>
      <c r="AF138" s="140"/>
      <c r="AG138" s="140"/>
      <c r="AH138" s="140"/>
      <c r="AI138" s="140"/>
      <c r="AJ138" s="141"/>
      <c r="AK138" s="140"/>
      <c r="AL138" s="140"/>
      <c r="AM138" s="140"/>
      <c r="AN138" s="140"/>
      <c r="AO138" s="140"/>
      <c r="AP138" s="140"/>
      <c r="AQ138" s="138"/>
      <c r="AR138" s="140"/>
      <c r="AS138" s="140"/>
      <c r="AT138" s="140"/>
      <c r="AU138" s="140"/>
      <c r="AV138" s="138"/>
      <c r="AW138" s="138"/>
      <c r="AX138" s="140"/>
      <c r="AY138" s="140"/>
      <c r="AZ138" s="140"/>
      <c r="BA138" s="140"/>
      <c r="BB138" s="140"/>
      <c r="BC138" s="140"/>
    </row>
    <row r="139" ht="15.75" customHeight="1">
      <c r="C139" s="137"/>
      <c r="D139" s="138"/>
      <c r="E139" s="138"/>
      <c r="F139" s="138"/>
      <c r="J139" s="138"/>
      <c r="K139" s="138"/>
      <c r="L139" s="138"/>
      <c r="M139" s="139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32"/>
      <c r="AE139" s="140"/>
      <c r="AF139" s="140"/>
      <c r="AG139" s="140"/>
      <c r="AH139" s="140"/>
      <c r="AI139" s="140"/>
      <c r="AJ139" s="141"/>
      <c r="AK139" s="140"/>
      <c r="AL139" s="140"/>
      <c r="AM139" s="140"/>
      <c r="AN139" s="140"/>
      <c r="AO139" s="140"/>
      <c r="AP139" s="140"/>
      <c r="AQ139" s="138"/>
      <c r="AR139" s="140"/>
      <c r="AS139" s="140"/>
      <c r="AT139" s="140"/>
      <c r="AU139" s="140"/>
      <c r="AV139" s="138"/>
      <c r="AW139" s="138"/>
      <c r="AX139" s="140"/>
      <c r="AY139" s="140"/>
      <c r="AZ139" s="140"/>
      <c r="BA139" s="140"/>
      <c r="BB139" s="140"/>
      <c r="BC139" s="140"/>
    </row>
    <row r="140" ht="15.75" customHeight="1">
      <c r="C140" s="137"/>
      <c r="D140" s="138"/>
      <c r="E140" s="138"/>
      <c r="F140" s="138"/>
      <c r="J140" s="138"/>
      <c r="K140" s="138"/>
      <c r="L140" s="138"/>
      <c r="M140" s="139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32"/>
      <c r="AE140" s="140"/>
      <c r="AF140" s="140"/>
      <c r="AG140" s="140"/>
      <c r="AH140" s="140"/>
      <c r="AI140" s="140"/>
      <c r="AJ140" s="141"/>
      <c r="AK140" s="140"/>
      <c r="AL140" s="140"/>
      <c r="AM140" s="140"/>
      <c r="AN140" s="140"/>
      <c r="AO140" s="140"/>
      <c r="AP140" s="140"/>
      <c r="AQ140" s="138"/>
      <c r="AR140" s="140"/>
      <c r="AS140" s="140"/>
      <c r="AT140" s="140"/>
      <c r="AU140" s="140"/>
      <c r="AV140" s="138"/>
      <c r="AW140" s="138"/>
      <c r="AX140" s="140"/>
      <c r="AY140" s="140"/>
      <c r="AZ140" s="140"/>
      <c r="BA140" s="140"/>
      <c r="BB140" s="140"/>
      <c r="BC140" s="140"/>
    </row>
    <row r="141" ht="15.75" customHeight="1">
      <c r="C141" s="137"/>
      <c r="D141" s="138"/>
      <c r="E141" s="138"/>
      <c r="F141" s="138"/>
      <c r="J141" s="138"/>
      <c r="K141" s="138"/>
      <c r="L141" s="138"/>
      <c r="M141" s="139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32"/>
      <c r="AE141" s="140"/>
      <c r="AF141" s="140"/>
      <c r="AG141" s="140"/>
      <c r="AH141" s="140"/>
      <c r="AI141" s="140"/>
      <c r="AJ141" s="141"/>
      <c r="AK141" s="140"/>
      <c r="AL141" s="140"/>
      <c r="AM141" s="140"/>
      <c r="AN141" s="140"/>
      <c r="AO141" s="140"/>
      <c r="AP141" s="140"/>
      <c r="AQ141" s="138"/>
      <c r="AR141" s="140"/>
      <c r="AS141" s="140"/>
      <c r="AT141" s="140"/>
      <c r="AU141" s="140"/>
      <c r="AV141" s="138"/>
      <c r="AW141" s="138"/>
      <c r="AX141" s="140"/>
      <c r="AY141" s="140"/>
      <c r="AZ141" s="140"/>
      <c r="BA141" s="140"/>
      <c r="BB141" s="140"/>
      <c r="BC141" s="140"/>
    </row>
    <row r="142" ht="15.75" customHeight="1">
      <c r="C142" s="137"/>
      <c r="D142" s="138"/>
      <c r="E142" s="138"/>
      <c r="F142" s="138"/>
      <c r="J142" s="138"/>
      <c r="K142" s="138"/>
      <c r="L142" s="138"/>
      <c r="M142" s="139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32"/>
      <c r="AE142" s="140"/>
      <c r="AF142" s="140"/>
      <c r="AG142" s="140"/>
      <c r="AH142" s="140"/>
      <c r="AI142" s="140"/>
      <c r="AJ142" s="141"/>
      <c r="AK142" s="140"/>
      <c r="AL142" s="140"/>
      <c r="AM142" s="140"/>
      <c r="AN142" s="140"/>
      <c r="AO142" s="140"/>
      <c r="AP142" s="140"/>
      <c r="AQ142" s="138"/>
      <c r="AR142" s="140"/>
      <c r="AS142" s="140"/>
      <c r="AT142" s="140"/>
      <c r="AU142" s="140"/>
      <c r="AV142" s="138"/>
      <c r="AW142" s="138"/>
      <c r="AX142" s="140"/>
      <c r="AY142" s="140"/>
      <c r="AZ142" s="140"/>
      <c r="BA142" s="140"/>
      <c r="BB142" s="140"/>
      <c r="BC142" s="140"/>
    </row>
    <row r="143" ht="15.75" customHeight="1">
      <c r="C143" s="137"/>
      <c r="D143" s="138"/>
      <c r="E143" s="138"/>
      <c r="F143" s="138"/>
      <c r="J143" s="138"/>
      <c r="K143" s="138"/>
      <c r="L143" s="138"/>
      <c r="M143" s="139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32"/>
      <c r="AE143" s="140"/>
      <c r="AF143" s="140"/>
      <c r="AG143" s="140"/>
      <c r="AH143" s="140"/>
      <c r="AI143" s="140"/>
      <c r="AJ143" s="141"/>
      <c r="AK143" s="140"/>
      <c r="AL143" s="140"/>
      <c r="AM143" s="140"/>
      <c r="AN143" s="140"/>
      <c r="AO143" s="140"/>
      <c r="AP143" s="140"/>
      <c r="AQ143" s="138"/>
      <c r="AR143" s="140"/>
      <c r="AS143" s="140"/>
      <c r="AT143" s="140"/>
      <c r="AU143" s="140"/>
      <c r="AV143" s="138"/>
      <c r="AW143" s="138"/>
      <c r="AX143" s="140"/>
      <c r="AY143" s="140"/>
      <c r="AZ143" s="140"/>
      <c r="BA143" s="140"/>
      <c r="BB143" s="140"/>
      <c r="BC143" s="140"/>
    </row>
    <row r="144" ht="15.75" customHeight="1">
      <c r="C144" s="137"/>
      <c r="D144" s="138"/>
      <c r="E144" s="138"/>
      <c r="F144" s="138"/>
      <c r="J144" s="138"/>
      <c r="K144" s="138"/>
      <c r="L144" s="138"/>
      <c r="M144" s="139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32"/>
      <c r="AE144" s="140"/>
      <c r="AF144" s="140"/>
      <c r="AG144" s="140"/>
      <c r="AH144" s="140"/>
      <c r="AI144" s="140"/>
      <c r="AJ144" s="141"/>
      <c r="AK144" s="140"/>
      <c r="AL144" s="140"/>
      <c r="AM144" s="140"/>
      <c r="AN144" s="140"/>
      <c r="AO144" s="140"/>
      <c r="AP144" s="140"/>
      <c r="AQ144" s="138"/>
      <c r="AR144" s="140"/>
      <c r="AS144" s="140"/>
      <c r="AT144" s="140"/>
      <c r="AU144" s="140"/>
      <c r="AV144" s="138"/>
      <c r="AW144" s="138"/>
      <c r="AX144" s="140"/>
      <c r="AY144" s="140"/>
      <c r="AZ144" s="140"/>
      <c r="BA144" s="140"/>
      <c r="BB144" s="140"/>
      <c r="BC144" s="140"/>
    </row>
    <row r="145" ht="15.75" customHeight="1">
      <c r="C145" s="137"/>
      <c r="D145" s="138"/>
      <c r="E145" s="138"/>
      <c r="F145" s="138"/>
      <c r="J145" s="138"/>
      <c r="K145" s="138"/>
      <c r="L145" s="138"/>
      <c r="M145" s="139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32"/>
      <c r="AE145" s="140"/>
      <c r="AF145" s="140"/>
      <c r="AG145" s="140"/>
      <c r="AH145" s="140"/>
      <c r="AI145" s="140"/>
      <c r="AJ145" s="141"/>
      <c r="AK145" s="140"/>
      <c r="AL145" s="140"/>
      <c r="AM145" s="140"/>
      <c r="AN145" s="140"/>
      <c r="AO145" s="140"/>
      <c r="AP145" s="140"/>
      <c r="AQ145" s="138"/>
      <c r="AR145" s="140"/>
      <c r="AS145" s="140"/>
      <c r="AT145" s="140"/>
      <c r="AU145" s="140"/>
      <c r="AV145" s="138"/>
      <c r="AW145" s="138"/>
      <c r="AX145" s="140"/>
      <c r="AY145" s="140"/>
      <c r="AZ145" s="140"/>
      <c r="BA145" s="140"/>
      <c r="BB145" s="140"/>
      <c r="BC145" s="140"/>
    </row>
    <row r="146" ht="15.75" customHeight="1">
      <c r="C146" s="137"/>
      <c r="D146" s="138"/>
      <c r="E146" s="138"/>
      <c r="F146" s="138"/>
      <c r="J146" s="138"/>
      <c r="K146" s="138"/>
      <c r="L146" s="138"/>
      <c r="M146" s="139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32"/>
      <c r="AE146" s="140"/>
      <c r="AF146" s="140"/>
      <c r="AG146" s="140"/>
      <c r="AH146" s="140"/>
      <c r="AI146" s="140"/>
      <c r="AJ146" s="141"/>
      <c r="AK146" s="140"/>
      <c r="AL146" s="140"/>
      <c r="AM146" s="140"/>
      <c r="AN146" s="140"/>
      <c r="AO146" s="140"/>
      <c r="AP146" s="140"/>
      <c r="AQ146" s="138"/>
      <c r="AR146" s="140"/>
      <c r="AS146" s="140"/>
      <c r="AT146" s="140"/>
      <c r="AU146" s="140"/>
      <c r="AV146" s="138"/>
      <c r="AW146" s="138"/>
      <c r="AX146" s="140"/>
      <c r="AY146" s="140"/>
      <c r="AZ146" s="140"/>
      <c r="BA146" s="140"/>
      <c r="BB146" s="140"/>
      <c r="BC146" s="140"/>
    </row>
    <row r="147" ht="15.75" customHeight="1">
      <c r="C147" s="137"/>
      <c r="D147" s="138"/>
      <c r="E147" s="138"/>
      <c r="F147" s="138"/>
      <c r="J147" s="138"/>
      <c r="K147" s="138"/>
      <c r="L147" s="138"/>
      <c r="M147" s="139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32"/>
      <c r="AE147" s="140"/>
      <c r="AF147" s="140"/>
      <c r="AG147" s="140"/>
      <c r="AH147" s="140"/>
      <c r="AI147" s="140"/>
      <c r="AJ147" s="141"/>
      <c r="AK147" s="140"/>
      <c r="AL147" s="140"/>
      <c r="AM147" s="140"/>
      <c r="AN147" s="140"/>
      <c r="AO147" s="140"/>
      <c r="AP147" s="140"/>
      <c r="AQ147" s="138"/>
      <c r="AR147" s="140"/>
      <c r="AS147" s="140"/>
      <c r="AT147" s="140"/>
      <c r="AU147" s="140"/>
      <c r="AV147" s="138"/>
      <c r="AW147" s="138"/>
      <c r="AX147" s="140"/>
      <c r="AY147" s="140"/>
      <c r="AZ147" s="140"/>
      <c r="BA147" s="140"/>
      <c r="BB147" s="140"/>
      <c r="BC147" s="140"/>
    </row>
    <row r="148" ht="15.75" customHeight="1">
      <c r="C148" s="137"/>
      <c r="D148" s="138"/>
      <c r="E148" s="138"/>
      <c r="F148" s="138"/>
      <c r="J148" s="138"/>
      <c r="K148" s="138"/>
      <c r="L148" s="138"/>
      <c r="M148" s="139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32"/>
      <c r="AE148" s="140"/>
      <c r="AF148" s="140"/>
      <c r="AG148" s="140"/>
      <c r="AH148" s="140"/>
      <c r="AI148" s="140"/>
      <c r="AJ148" s="141"/>
      <c r="AK148" s="140"/>
      <c r="AL148" s="140"/>
      <c r="AM148" s="140"/>
      <c r="AN148" s="140"/>
      <c r="AO148" s="140"/>
      <c r="AP148" s="140"/>
      <c r="AQ148" s="138"/>
      <c r="AR148" s="140"/>
      <c r="AS148" s="140"/>
      <c r="AT148" s="140"/>
      <c r="AU148" s="140"/>
      <c r="AV148" s="138"/>
      <c r="AW148" s="138"/>
      <c r="AX148" s="140"/>
      <c r="AY148" s="140"/>
      <c r="AZ148" s="140"/>
      <c r="BA148" s="140"/>
      <c r="BB148" s="140"/>
      <c r="BC148" s="140"/>
    </row>
    <row r="149" ht="15.75" customHeight="1">
      <c r="C149" s="137"/>
      <c r="D149" s="138"/>
      <c r="E149" s="138"/>
      <c r="F149" s="138"/>
      <c r="J149" s="138"/>
      <c r="K149" s="138"/>
      <c r="L149" s="138"/>
      <c r="M149" s="139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32"/>
      <c r="AE149" s="140"/>
      <c r="AF149" s="140"/>
      <c r="AG149" s="140"/>
      <c r="AH149" s="140"/>
      <c r="AI149" s="140"/>
      <c r="AJ149" s="141"/>
      <c r="AK149" s="140"/>
      <c r="AL149" s="140"/>
      <c r="AM149" s="140"/>
      <c r="AN149" s="140"/>
      <c r="AO149" s="140"/>
      <c r="AP149" s="140"/>
      <c r="AQ149" s="138"/>
      <c r="AR149" s="140"/>
      <c r="AS149" s="140"/>
      <c r="AT149" s="140"/>
      <c r="AU149" s="140"/>
      <c r="AV149" s="138"/>
      <c r="AW149" s="138"/>
      <c r="AX149" s="140"/>
      <c r="AY149" s="140"/>
      <c r="AZ149" s="140"/>
      <c r="BA149" s="140"/>
      <c r="BB149" s="140"/>
      <c r="BC149" s="140"/>
    </row>
    <row r="150" ht="15.75" customHeight="1">
      <c r="C150" s="137"/>
      <c r="D150" s="138"/>
      <c r="E150" s="138"/>
      <c r="F150" s="138"/>
      <c r="J150" s="138"/>
      <c r="K150" s="138"/>
      <c r="L150" s="138"/>
      <c r="M150" s="139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32"/>
      <c r="AE150" s="140"/>
      <c r="AF150" s="140"/>
      <c r="AG150" s="140"/>
      <c r="AH150" s="140"/>
      <c r="AI150" s="140"/>
      <c r="AJ150" s="141"/>
      <c r="AK150" s="140"/>
      <c r="AL150" s="140"/>
      <c r="AM150" s="140"/>
      <c r="AN150" s="140"/>
      <c r="AO150" s="140"/>
      <c r="AP150" s="140"/>
      <c r="AQ150" s="138"/>
      <c r="AR150" s="140"/>
      <c r="AS150" s="140"/>
      <c r="AT150" s="140"/>
      <c r="AU150" s="140"/>
      <c r="AV150" s="138"/>
      <c r="AW150" s="138"/>
      <c r="AX150" s="140"/>
      <c r="AY150" s="140"/>
      <c r="AZ150" s="140"/>
      <c r="BA150" s="140"/>
      <c r="BB150" s="140"/>
      <c r="BC150" s="140"/>
    </row>
    <row r="151" ht="15.75" customHeight="1">
      <c r="C151" s="137"/>
      <c r="D151" s="138"/>
      <c r="E151" s="138"/>
      <c r="F151" s="138"/>
      <c r="J151" s="138"/>
      <c r="K151" s="138"/>
      <c r="L151" s="138"/>
      <c r="M151" s="139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32"/>
      <c r="AE151" s="140"/>
      <c r="AF151" s="140"/>
      <c r="AG151" s="140"/>
      <c r="AH151" s="140"/>
      <c r="AI151" s="140"/>
      <c r="AJ151" s="141"/>
      <c r="AK151" s="140"/>
      <c r="AL151" s="140"/>
      <c r="AM151" s="140"/>
      <c r="AN151" s="140"/>
      <c r="AO151" s="140"/>
      <c r="AP151" s="140"/>
      <c r="AQ151" s="138"/>
      <c r="AR151" s="140"/>
      <c r="AS151" s="140"/>
      <c r="AT151" s="140"/>
      <c r="AU151" s="140"/>
      <c r="AV151" s="138"/>
      <c r="AW151" s="138"/>
      <c r="AX151" s="140"/>
      <c r="AY151" s="140"/>
      <c r="AZ151" s="140"/>
      <c r="BA151" s="140"/>
      <c r="BB151" s="140"/>
      <c r="BC151" s="140"/>
    </row>
    <row r="152" ht="15.75" customHeight="1">
      <c r="C152" s="137"/>
      <c r="D152" s="138"/>
      <c r="E152" s="138"/>
      <c r="F152" s="138"/>
      <c r="J152" s="138"/>
      <c r="K152" s="138"/>
      <c r="L152" s="138"/>
      <c r="M152" s="139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32"/>
      <c r="AE152" s="140"/>
      <c r="AF152" s="140"/>
      <c r="AG152" s="140"/>
      <c r="AH152" s="140"/>
      <c r="AI152" s="140"/>
      <c r="AJ152" s="141"/>
      <c r="AK152" s="140"/>
      <c r="AL152" s="140"/>
      <c r="AM152" s="140"/>
      <c r="AN152" s="140"/>
      <c r="AO152" s="140"/>
      <c r="AP152" s="140"/>
      <c r="AQ152" s="138"/>
      <c r="AR152" s="140"/>
      <c r="AS152" s="140"/>
      <c r="AT152" s="140"/>
      <c r="AU152" s="140"/>
      <c r="AV152" s="138"/>
      <c r="AW152" s="138"/>
      <c r="AX152" s="140"/>
      <c r="AY152" s="140"/>
      <c r="AZ152" s="140"/>
      <c r="BA152" s="140"/>
      <c r="BB152" s="140"/>
      <c r="BC152" s="140"/>
    </row>
    <row r="153" ht="15.75" customHeight="1">
      <c r="C153" s="137"/>
      <c r="D153" s="138"/>
      <c r="E153" s="138"/>
      <c r="F153" s="138"/>
      <c r="J153" s="138"/>
      <c r="K153" s="138"/>
      <c r="L153" s="138"/>
      <c r="M153" s="139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32"/>
      <c r="AE153" s="140"/>
      <c r="AF153" s="140"/>
      <c r="AG153" s="140"/>
      <c r="AH153" s="140"/>
      <c r="AI153" s="140"/>
      <c r="AJ153" s="141"/>
      <c r="AK153" s="140"/>
      <c r="AL153" s="140"/>
      <c r="AM153" s="140"/>
      <c r="AN153" s="140"/>
      <c r="AO153" s="140"/>
      <c r="AP153" s="140"/>
      <c r="AQ153" s="138"/>
      <c r="AR153" s="140"/>
      <c r="AS153" s="140"/>
      <c r="AT153" s="140"/>
      <c r="AU153" s="140"/>
      <c r="AV153" s="138"/>
      <c r="AW153" s="138"/>
      <c r="AX153" s="140"/>
      <c r="AY153" s="140"/>
      <c r="AZ153" s="140"/>
      <c r="BA153" s="140"/>
      <c r="BB153" s="140"/>
      <c r="BC153" s="140"/>
    </row>
    <row r="154" ht="15.75" customHeight="1">
      <c r="C154" s="137"/>
      <c r="D154" s="138"/>
      <c r="E154" s="138"/>
      <c r="F154" s="138"/>
      <c r="J154" s="138"/>
      <c r="K154" s="138"/>
      <c r="L154" s="138"/>
      <c r="M154" s="139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32"/>
      <c r="AE154" s="140"/>
      <c r="AF154" s="140"/>
      <c r="AG154" s="140"/>
      <c r="AH154" s="140"/>
      <c r="AI154" s="140"/>
      <c r="AJ154" s="141"/>
      <c r="AK154" s="140"/>
      <c r="AL154" s="140"/>
      <c r="AM154" s="140"/>
      <c r="AN154" s="140"/>
      <c r="AO154" s="140"/>
      <c r="AP154" s="140"/>
      <c r="AQ154" s="138"/>
      <c r="AR154" s="140"/>
      <c r="AS154" s="140"/>
      <c r="AT154" s="140"/>
      <c r="AU154" s="140"/>
      <c r="AV154" s="138"/>
      <c r="AW154" s="138"/>
      <c r="AX154" s="140"/>
      <c r="AY154" s="140"/>
      <c r="AZ154" s="140"/>
      <c r="BA154" s="140"/>
      <c r="BB154" s="140"/>
      <c r="BC154" s="140"/>
    </row>
    <row r="155" ht="15.75" customHeight="1">
      <c r="C155" s="137"/>
      <c r="D155" s="138"/>
      <c r="E155" s="138"/>
      <c r="F155" s="138"/>
      <c r="J155" s="138"/>
      <c r="K155" s="138"/>
      <c r="L155" s="138"/>
      <c r="M155" s="139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32"/>
      <c r="AE155" s="140"/>
      <c r="AF155" s="140"/>
      <c r="AG155" s="140"/>
      <c r="AH155" s="140"/>
      <c r="AI155" s="140"/>
      <c r="AJ155" s="141"/>
      <c r="AK155" s="140"/>
      <c r="AL155" s="140"/>
      <c r="AM155" s="140"/>
      <c r="AN155" s="140"/>
      <c r="AO155" s="140"/>
      <c r="AP155" s="140"/>
      <c r="AQ155" s="138"/>
      <c r="AR155" s="140"/>
      <c r="AS155" s="140"/>
      <c r="AT155" s="140"/>
      <c r="AU155" s="140"/>
      <c r="AV155" s="138"/>
      <c r="AW155" s="138"/>
      <c r="AX155" s="140"/>
      <c r="AY155" s="140"/>
      <c r="AZ155" s="140"/>
      <c r="BA155" s="140"/>
      <c r="BB155" s="140"/>
      <c r="BC155" s="140"/>
    </row>
    <row r="156" ht="15.75" customHeight="1">
      <c r="C156" s="137"/>
      <c r="D156" s="138"/>
      <c r="E156" s="138"/>
      <c r="F156" s="138"/>
      <c r="J156" s="138"/>
      <c r="K156" s="138"/>
      <c r="L156" s="138"/>
      <c r="M156" s="139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32"/>
      <c r="AE156" s="140"/>
      <c r="AF156" s="140"/>
      <c r="AG156" s="140"/>
      <c r="AH156" s="140"/>
      <c r="AI156" s="140"/>
      <c r="AJ156" s="141"/>
      <c r="AK156" s="140"/>
      <c r="AL156" s="140"/>
      <c r="AM156" s="140"/>
      <c r="AN156" s="140"/>
      <c r="AO156" s="140"/>
      <c r="AP156" s="140"/>
      <c r="AQ156" s="138"/>
      <c r="AR156" s="140"/>
      <c r="AS156" s="140"/>
      <c r="AT156" s="140"/>
      <c r="AU156" s="140"/>
      <c r="AV156" s="138"/>
      <c r="AW156" s="138"/>
      <c r="AX156" s="140"/>
      <c r="AY156" s="140"/>
      <c r="AZ156" s="140"/>
      <c r="BA156" s="140"/>
      <c r="BB156" s="140"/>
      <c r="BC156" s="140"/>
    </row>
    <row r="157" ht="15.75" customHeight="1">
      <c r="C157" s="137"/>
      <c r="D157" s="138"/>
      <c r="E157" s="138"/>
      <c r="F157" s="138"/>
      <c r="J157" s="138"/>
      <c r="K157" s="138"/>
      <c r="L157" s="138"/>
      <c r="M157" s="139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32"/>
      <c r="AE157" s="140"/>
      <c r="AF157" s="140"/>
      <c r="AG157" s="140"/>
      <c r="AH157" s="140"/>
      <c r="AI157" s="140"/>
      <c r="AJ157" s="141"/>
      <c r="AK157" s="140"/>
      <c r="AL157" s="140"/>
      <c r="AM157" s="140"/>
      <c r="AN157" s="140"/>
      <c r="AO157" s="140"/>
      <c r="AP157" s="140"/>
      <c r="AQ157" s="138"/>
      <c r="AR157" s="140"/>
      <c r="AS157" s="140"/>
      <c r="AT157" s="140"/>
      <c r="AU157" s="140"/>
      <c r="AV157" s="138"/>
      <c r="AW157" s="138"/>
      <c r="AX157" s="140"/>
      <c r="AY157" s="140"/>
      <c r="AZ157" s="140"/>
      <c r="BA157" s="140"/>
      <c r="BB157" s="140"/>
      <c r="BC157" s="140"/>
    </row>
    <row r="158" ht="15.75" customHeight="1">
      <c r="C158" s="137"/>
      <c r="D158" s="138"/>
      <c r="E158" s="138"/>
      <c r="F158" s="138"/>
      <c r="J158" s="138"/>
      <c r="K158" s="138"/>
      <c r="L158" s="138"/>
      <c r="M158" s="139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32"/>
      <c r="AE158" s="140"/>
      <c r="AF158" s="140"/>
      <c r="AG158" s="140"/>
      <c r="AH158" s="140"/>
      <c r="AI158" s="140"/>
      <c r="AJ158" s="141"/>
      <c r="AK158" s="140"/>
      <c r="AL158" s="140"/>
      <c r="AM158" s="140"/>
      <c r="AN158" s="140"/>
      <c r="AO158" s="140"/>
      <c r="AP158" s="140"/>
      <c r="AQ158" s="138"/>
      <c r="AR158" s="140"/>
      <c r="AS158" s="140"/>
      <c r="AT158" s="140"/>
      <c r="AU158" s="140"/>
      <c r="AV158" s="138"/>
      <c r="AW158" s="138"/>
      <c r="AX158" s="140"/>
      <c r="AY158" s="140"/>
      <c r="AZ158" s="140"/>
      <c r="BA158" s="140"/>
      <c r="BB158" s="140"/>
      <c r="BC158" s="140"/>
    </row>
    <row r="159" ht="15.75" customHeight="1">
      <c r="C159" s="137"/>
      <c r="D159" s="138"/>
      <c r="E159" s="138"/>
      <c r="F159" s="138"/>
      <c r="J159" s="138"/>
      <c r="K159" s="138"/>
      <c r="L159" s="138"/>
      <c r="M159" s="139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32"/>
      <c r="AE159" s="140"/>
      <c r="AF159" s="140"/>
      <c r="AG159" s="140"/>
      <c r="AH159" s="140"/>
      <c r="AI159" s="140"/>
      <c r="AJ159" s="141"/>
      <c r="AK159" s="140"/>
      <c r="AL159" s="140"/>
      <c r="AM159" s="140"/>
      <c r="AN159" s="140"/>
      <c r="AO159" s="140"/>
      <c r="AP159" s="140"/>
      <c r="AQ159" s="138"/>
      <c r="AR159" s="140"/>
      <c r="AS159" s="140"/>
      <c r="AT159" s="140"/>
      <c r="AU159" s="140"/>
      <c r="AV159" s="138"/>
      <c r="AW159" s="138"/>
      <c r="AX159" s="140"/>
      <c r="AY159" s="140"/>
      <c r="AZ159" s="140"/>
      <c r="BA159" s="140"/>
      <c r="BB159" s="140"/>
      <c r="BC159" s="140"/>
    </row>
    <row r="160" ht="15.75" customHeight="1">
      <c r="C160" s="137"/>
      <c r="D160" s="138"/>
      <c r="E160" s="138"/>
      <c r="F160" s="138"/>
      <c r="J160" s="138"/>
      <c r="K160" s="138"/>
      <c r="L160" s="138"/>
      <c r="M160" s="139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32"/>
      <c r="AE160" s="140"/>
      <c r="AF160" s="140"/>
      <c r="AG160" s="140"/>
      <c r="AH160" s="140"/>
      <c r="AI160" s="140"/>
      <c r="AJ160" s="141"/>
      <c r="AK160" s="140"/>
      <c r="AL160" s="140"/>
      <c r="AM160" s="140"/>
      <c r="AN160" s="140"/>
      <c r="AO160" s="140"/>
      <c r="AP160" s="140"/>
      <c r="AQ160" s="138"/>
      <c r="AR160" s="140"/>
      <c r="AS160" s="140"/>
      <c r="AT160" s="140"/>
      <c r="AU160" s="140"/>
      <c r="AV160" s="138"/>
      <c r="AW160" s="138"/>
      <c r="AX160" s="140"/>
      <c r="AY160" s="140"/>
      <c r="AZ160" s="140"/>
      <c r="BA160" s="140"/>
      <c r="BB160" s="140"/>
      <c r="BC160" s="140"/>
    </row>
    <row r="161" ht="15.75" customHeight="1">
      <c r="C161" s="137"/>
      <c r="D161" s="138"/>
      <c r="E161" s="138"/>
      <c r="F161" s="138"/>
      <c r="J161" s="138"/>
      <c r="K161" s="138"/>
      <c r="L161" s="138"/>
      <c r="M161" s="139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32"/>
      <c r="AE161" s="140"/>
      <c r="AF161" s="140"/>
      <c r="AG161" s="140"/>
      <c r="AH161" s="140"/>
      <c r="AI161" s="140"/>
      <c r="AJ161" s="141"/>
      <c r="AK161" s="140"/>
      <c r="AL161" s="140"/>
      <c r="AM161" s="140"/>
      <c r="AN161" s="140"/>
      <c r="AO161" s="140"/>
      <c r="AP161" s="140"/>
      <c r="AQ161" s="138"/>
      <c r="AR161" s="140"/>
      <c r="AS161" s="140"/>
      <c r="AT161" s="140"/>
      <c r="AU161" s="140"/>
      <c r="AV161" s="138"/>
      <c r="AW161" s="138"/>
      <c r="AX161" s="140"/>
      <c r="AY161" s="140"/>
      <c r="AZ161" s="140"/>
      <c r="BA161" s="140"/>
      <c r="BB161" s="140"/>
      <c r="BC161" s="140"/>
    </row>
    <row r="162" ht="15.75" customHeight="1">
      <c r="C162" s="137"/>
      <c r="D162" s="138"/>
      <c r="E162" s="138"/>
      <c r="F162" s="138"/>
      <c r="J162" s="138"/>
      <c r="K162" s="138"/>
      <c r="L162" s="138"/>
      <c r="M162" s="139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32"/>
      <c r="AE162" s="140"/>
      <c r="AF162" s="140"/>
      <c r="AG162" s="140"/>
      <c r="AH162" s="140"/>
      <c r="AI162" s="140"/>
      <c r="AJ162" s="141"/>
      <c r="AK162" s="140"/>
      <c r="AL162" s="140"/>
      <c r="AM162" s="140"/>
      <c r="AN162" s="140"/>
      <c r="AO162" s="140"/>
      <c r="AP162" s="140"/>
      <c r="AQ162" s="138"/>
      <c r="AR162" s="140"/>
      <c r="AS162" s="140"/>
      <c r="AT162" s="140"/>
      <c r="AU162" s="140"/>
      <c r="AV162" s="138"/>
      <c r="AW162" s="138"/>
      <c r="AX162" s="140"/>
      <c r="AY162" s="140"/>
      <c r="AZ162" s="140"/>
      <c r="BA162" s="140"/>
      <c r="BB162" s="140"/>
      <c r="BC162" s="140"/>
    </row>
    <row r="163" ht="15.75" customHeight="1">
      <c r="C163" s="137"/>
      <c r="D163" s="138"/>
      <c r="E163" s="138"/>
      <c r="F163" s="138"/>
      <c r="J163" s="138"/>
      <c r="K163" s="138"/>
      <c r="L163" s="138"/>
      <c r="M163" s="139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32"/>
      <c r="AE163" s="140"/>
      <c r="AF163" s="140"/>
      <c r="AG163" s="140"/>
      <c r="AH163" s="140"/>
      <c r="AI163" s="140"/>
      <c r="AJ163" s="141"/>
      <c r="AK163" s="140"/>
      <c r="AL163" s="140"/>
      <c r="AM163" s="140"/>
      <c r="AN163" s="140"/>
      <c r="AO163" s="140"/>
      <c r="AP163" s="140"/>
      <c r="AQ163" s="138"/>
      <c r="AR163" s="140"/>
      <c r="AS163" s="140"/>
      <c r="AT163" s="140"/>
      <c r="AU163" s="140"/>
      <c r="AV163" s="138"/>
      <c r="AW163" s="138"/>
      <c r="AX163" s="140"/>
      <c r="AY163" s="140"/>
      <c r="AZ163" s="140"/>
      <c r="BA163" s="140"/>
      <c r="BB163" s="140"/>
      <c r="BC163" s="140"/>
    </row>
    <row r="164" ht="15.75" customHeight="1">
      <c r="C164" s="137"/>
      <c r="D164" s="138"/>
      <c r="E164" s="138"/>
      <c r="F164" s="138"/>
      <c r="J164" s="138"/>
      <c r="K164" s="138"/>
      <c r="L164" s="138"/>
      <c r="M164" s="139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32"/>
      <c r="AE164" s="140"/>
      <c r="AF164" s="140"/>
      <c r="AG164" s="140"/>
      <c r="AH164" s="140"/>
      <c r="AI164" s="140"/>
      <c r="AJ164" s="141"/>
      <c r="AK164" s="140"/>
      <c r="AL164" s="140"/>
      <c r="AM164" s="140"/>
      <c r="AN164" s="140"/>
      <c r="AO164" s="140"/>
      <c r="AP164" s="140"/>
      <c r="AQ164" s="138"/>
      <c r="AR164" s="140"/>
      <c r="AS164" s="140"/>
      <c r="AT164" s="140"/>
      <c r="AU164" s="140"/>
      <c r="AV164" s="138"/>
      <c r="AW164" s="138"/>
      <c r="AX164" s="140"/>
      <c r="AY164" s="140"/>
      <c r="AZ164" s="140"/>
      <c r="BA164" s="140"/>
      <c r="BB164" s="140"/>
      <c r="BC164" s="140"/>
    </row>
    <row r="165" ht="15.75" customHeight="1">
      <c r="C165" s="137"/>
      <c r="D165" s="138"/>
      <c r="E165" s="138"/>
      <c r="F165" s="138"/>
      <c r="J165" s="138"/>
      <c r="K165" s="138"/>
      <c r="L165" s="138"/>
      <c r="M165" s="139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32"/>
      <c r="AE165" s="140"/>
      <c r="AF165" s="140"/>
      <c r="AG165" s="140"/>
      <c r="AH165" s="140"/>
      <c r="AI165" s="140"/>
      <c r="AJ165" s="141"/>
      <c r="AK165" s="140"/>
      <c r="AL165" s="140"/>
      <c r="AM165" s="140"/>
      <c r="AN165" s="140"/>
      <c r="AO165" s="140"/>
      <c r="AP165" s="140"/>
      <c r="AQ165" s="138"/>
      <c r="AR165" s="140"/>
      <c r="AS165" s="140"/>
      <c r="AT165" s="140"/>
      <c r="AU165" s="140"/>
      <c r="AV165" s="138"/>
      <c r="AW165" s="138"/>
      <c r="AX165" s="140"/>
      <c r="AY165" s="140"/>
      <c r="AZ165" s="140"/>
      <c r="BA165" s="140"/>
      <c r="BB165" s="140"/>
      <c r="BC165" s="140"/>
    </row>
    <row r="166" ht="15.75" customHeight="1">
      <c r="C166" s="137"/>
      <c r="D166" s="138"/>
      <c r="E166" s="138"/>
      <c r="F166" s="138"/>
      <c r="J166" s="138"/>
      <c r="K166" s="138"/>
      <c r="L166" s="138"/>
      <c r="M166" s="139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32"/>
      <c r="AE166" s="140"/>
      <c r="AF166" s="140"/>
      <c r="AG166" s="140"/>
      <c r="AH166" s="140"/>
      <c r="AI166" s="140"/>
      <c r="AJ166" s="141"/>
      <c r="AK166" s="140"/>
      <c r="AL166" s="140"/>
      <c r="AM166" s="140"/>
      <c r="AN166" s="140"/>
      <c r="AO166" s="140"/>
      <c r="AP166" s="140"/>
      <c r="AQ166" s="138"/>
      <c r="AR166" s="140"/>
      <c r="AS166" s="140"/>
      <c r="AT166" s="140"/>
      <c r="AU166" s="140"/>
      <c r="AV166" s="138"/>
      <c r="AW166" s="138"/>
      <c r="AX166" s="140"/>
      <c r="AY166" s="140"/>
      <c r="AZ166" s="140"/>
      <c r="BA166" s="140"/>
      <c r="BB166" s="140"/>
      <c r="BC166" s="140"/>
    </row>
    <row r="167" ht="15.75" customHeight="1">
      <c r="C167" s="137"/>
      <c r="D167" s="138"/>
      <c r="E167" s="138"/>
      <c r="F167" s="138"/>
      <c r="J167" s="138"/>
      <c r="K167" s="138"/>
      <c r="L167" s="138"/>
      <c r="M167" s="139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32"/>
      <c r="AE167" s="140"/>
      <c r="AF167" s="140"/>
      <c r="AG167" s="140"/>
      <c r="AH167" s="140"/>
      <c r="AI167" s="140"/>
      <c r="AJ167" s="141"/>
      <c r="AK167" s="140"/>
      <c r="AL167" s="140"/>
      <c r="AM167" s="140"/>
      <c r="AN167" s="140"/>
      <c r="AO167" s="140"/>
      <c r="AP167" s="140"/>
      <c r="AQ167" s="138"/>
      <c r="AR167" s="140"/>
      <c r="AS167" s="140"/>
      <c r="AT167" s="140"/>
      <c r="AU167" s="140"/>
      <c r="AV167" s="138"/>
      <c r="AW167" s="138"/>
      <c r="AX167" s="140"/>
      <c r="AY167" s="140"/>
      <c r="AZ167" s="140"/>
      <c r="BA167" s="140"/>
      <c r="BB167" s="140"/>
      <c r="BC167" s="140"/>
    </row>
    <row r="168" ht="15.75" customHeight="1">
      <c r="C168" s="137"/>
      <c r="D168" s="138"/>
      <c r="E168" s="138"/>
      <c r="F168" s="138"/>
      <c r="J168" s="138"/>
      <c r="K168" s="138"/>
      <c r="L168" s="138"/>
      <c r="M168" s="139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32"/>
      <c r="AE168" s="140"/>
      <c r="AF168" s="140"/>
      <c r="AG168" s="140"/>
      <c r="AH168" s="140"/>
      <c r="AI168" s="140"/>
      <c r="AJ168" s="141"/>
      <c r="AK168" s="140"/>
      <c r="AL168" s="140"/>
      <c r="AM168" s="140"/>
      <c r="AN168" s="140"/>
      <c r="AO168" s="140"/>
      <c r="AP168" s="140"/>
      <c r="AQ168" s="138"/>
      <c r="AR168" s="140"/>
      <c r="AS168" s="140"/>
      <c r="AT168" s="140"/>
      <c r="AU168" s="140"/>
      <c r="AV168" s="138"/>
      <c r="AW168" s="138"/>
      <c r="AX168" s="140"/>
      <c r="AY168" s="140"/>
      <c r="AZ168" s="140"/>
      <c r="BA168" s="140"/>
      <c r="BB168" s="140"/>
      <c r="BC168" s="140"/>
    </row>
    <row r="169" ht="15.75" customHeight="1">
      <c r="C169" s="137"/>
      <c r="D169" s="138"/>
      <c r="E169" s="138"/>
      <c r="F169" s="138"/>
      <c r="J169" s="138"/>
      <c r="K169" s="138"/>
      <c r="L169" s="138"/>
      <c r="M169" s="139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32"/>
      <c r="AE169" s="140"/>
      <c r="AF169" s="140"/>
      <c r="AG169" s="140"/>
      <c r="AH169" s="140"/>
      <c r="AI169" s="140"/>
      <c r="AJ169" s="141"/>
      <c r="AK169" s="140"/>
      <c r="AL169" s="140"/>
      <c r="AM169" s="140"/>
      <c r="AN169" s="140"/>
      <c r="AO169" s="140"/>
      <c r="AP169" s="140"/>
      <c r="AQ169" s="138"/>
      <c r="AR169" s="140"/>
      <c r="AS169" s="140"/>
      <c r="AT169" s="140"/>
      <c r="AU169" s="140"/>
      <c r="AV169" s="138"/>
      <c r="AW169" s="138"/>
      <c r="AX169" s="140"/>
      <c r="AY169" s="140"/>
      <c r="AZ169" s="140"/>
      <c r="BA169" s="140"/>
      <c r="BB169" s="140"/>
      <c r="BC169" s="140"/>
    </row>
    <row r="170" ht="15.75" customHeight="1">
      <c r="C170" s="137"/>
      <c r="D170" s="138"/>
      <c r="E170" s="138"/>
      <c r="F170" s="138"/>
      <c r="J170" s="138"/>
      <c r="K170" s="138"/>
      <c r="L170" s="138"/>
      <c r="M170" s="139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32"/>
      <c r="AE170" s="140"/>
      <c r="AF170" s="140"/>
      <c r="AG170" s="140"/>
      <c r="AH170" s="140"/>
      <c r="AI170" s="140"/>
      <c r="AJ170" s="141"/>
      <c r="AK170" s="140"/>
      <c r="AL170" s="140"/>
      <c r="AM170" s="140"/>
      <c r="AN170" s="140"/>
      <c r="AO170" s="140"/>
      <c r="AP170" s="140"/>
      <c r="AQ170" s="138"/>
      <c r="AR170" s="140"/>
      <c r="AS170" s="140"/>
      <c r="AT170" s="140"/>
      <c r="AU170" s="140"/>
      <c r="AV170" s="138"/>
      <c r="AW170" s="138"/>
      <c r="AX170" s="140"/>
      <c r="AY170" s="140"/>
      <c r="AZ170" s="140"/>
      <c r="BA170" s="140"/>
      <c r="BB170" s="140"/>
      <c r="BC170" s="140"/>
    </row>
    <row r="171" ht="15.75" customHeight="1">
      <c r="C171" s="137"/>
      <c r="D171" s="138"/>
      <c r="E171" s="138"/>
      <c r="F171" s="138"/>
      <c r="J171" s="138"/>
      <c r="K171" s="138"/>
      <c r="L171" s="138"/>
      <c r="M171" s="139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32"/>
      <c r="AE171" s="140"/>
      <c r="AF171" s="140"/>
      <c r="AG171" s="140"/>
      <c r="AH171" s="140"/>
      <c r="AI171" s="140"/>
      <c r="AJ171" s="141"/>
      <c r="AK171" s="140"/>
      <c r="AL171" s="140"/>
      <c r="AM171" s="140"/>
      <c r="AN171" s="140"/>
      <c r="AO171" s="140"/>
      <c r="AP171" s="140"/>
      <c r="AQ171" s="138"/>
      <c r="AR171" s="140"/>
      <c r="AS171" s="140"/>
      <c r="AT171" s="140"/>
      <c r="AU171" s="140"/>
      <c r="AV171" s="138"/>
      <c r="AW171" s="138"/>
      <c r="AX171" s="140"/>
      <c r="AY171" s="140"/>
      <c r="AZ171" s="140"/>
      <c r="BA171" s="140"/>
      <c r="BB171" s="140"/>
      <c r="BC171" s="140"/>
    </row>
    <row r="172" ht="15.75" customHeight="1">
      <c r="C172" s="137"/>
      <c r="D172" s="138"/>
      <c r="E172" s="138"/>
      <c r="F172" s="138"/>
      <c r="J172" s="138"/>
      <c r="K172" s="138"/>
      <c r="L172" s="138"/>
      <c r="M172" s="139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32"/>
      <c r="AE172" s="140"/>
      <c r="AF172" s="140"/>
      <c r="AG172" s="140"/>
      <c r="AH172" s="140"/>
      <c r="AI172" s="140"/>
      <c r="AJ172" s="141"/>
      <c r="AK172" s="140"/>
      <c r="AL172" s="140"/>
      <c r="AM172" s="140"/>
      <c r="AN172" s="140"/>
      <c r="AO172" s="140"/>
      <c r="AP172" s="140"/>
      <c r="AQ172" s="138"/>
      <c r="AR172" s="140"/>
      <c r="AS172" s="140"/>
      <c r="AT172" s="140"/>
      <c r="AU172" s="140"/>
      <c r="AV172" s="138"/>
      <c r="AW172" s="138"/>
      <c r="AX172" s="140"/>
      <c r="AY172" s="140"/>
      <c r="AZ172" s="140"/>
      <c r="BA172" s="140"/>
      <c r="BB172" s="140"/>
      <c r="BC172" s="140"/>
    </row>
    <row r="173" ht="15.75" customHeight="1">
      <c r="C173" s="137"/>
      <c r="D173" s="138"/>
      <c r="E173" s="138"/>
      <c r="F173" s="138"/>
      <c r="J173" s="138"/>
      <c r="K173" s="138"/>
      <c r="L173" s="138"/>
      <c r="M173" s="139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32"/>
      <c r="AE173" s="140"/>
      <c r="AF173" s="140"/>
      <c r="AG173" s="140"/>
      <c r="AH173" s="140"/>
      <c r="AI173" s="140"/>
      <c r="AJ173" s="141"/>
      <c r="AK173" s="140"/>
      <c r="AL173" s="140"/>
      <c r="AM173" s="140"/>
      <c r="AN173" s="140"/>
      <c r="AO173" s="140"/>
      <c r="AP173" s="140"/>
      <c r="AQ173" s="138"/>
      <c r="AR173" s="140"/>
      <c r="AS173" s="140"/>
      <c r="AT173" s="140"/>
      <c r="AU173" s="140"/>
      <c r="AV173" s="138"/>
      <c r="AW173" s="138"/>
      <c r="AX173" s="140"/>
      <c r="AY173" s="140"/>
      <c r="AZ173" s="140"/>
      <c r="BA173" s="140"/>
      <c r="BB173" s="140"/>
      <c r="BC173" s="140"/>
    </row>
    <row r="174" ht="15.75" customHeight="1">
      <c r="C174" s="137"/>
      <c r="D174" s="138"/>
      <c r="E174" s="138"/>
      <c r="F174" s="138"/>
      <c r="J174" s="138"/>
      <c r="K174" s="138"/>
      <c r="L174" s="138"/>
      <c r="M174" s="139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32"/>
      <c r="AE174" s="140"/>
      <c r="AF174" s="140"/>
      <c r="AG174" s="140"/>
      <c r="AH174" s="140"/>
      <c r="AI174" s="140"/>
      <c r="AJ174" s="141"/>
      <c r="AK174" s="140"/>
      <c r="AL174" s="140"/>
      <c r="AM174" s="140"/>
      <c r="AN174" s="140"/>
      <c r="AO174" s="140"/>
      <c r="AP174" s="140"/>
      <c r="AQ174" s="138"/>
      <c r="AR174" s="140"/>
      <c r="AS174" s="140"/>
      <c r="AT174" s="140"/>
      <c r="AU174" s="140"/>
      <c r="AV174" s="138"/>
      <c r="AW174" s="138"/>
      <c r="AX174" s="140"/>
      <c r="AY174" s="140"/>
      <c r="AZ174" s="140"/>
      <c r="BA174" s="140"/>
      <c r="BB174" s="140"/>
      <c r="BC174" s="140"/>
    </row>
    <row r="175" ht="15.75" customHeight="1">
      <c r="C175" s="137"/>
      <c r="D175" s="138"/>
      <c r="E175" s="138"/>
      <c r="F175" s="138"/>
      <c r="J175" s="138"/>
      <c r="K175" s="138"/>
      <c r="L175" s="138"/>
      <c r="M175" s="139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32"/>
      <c r="AE175" s="140"/>
      <c r="AF175" s="140"/>
      <c r="AG175" s="140"/>
      <c r="AH175" s="140"/>
      <c r="AI175" s="140"/>
      <c r="AJ175" s="141"/>
      <c r="AK175" s="140"/>
      <c r="AL175" s="140"/>
      <c r="AM175" s="140"/>
      <c r="AN175" s="140"/>
      <c r="AO175" s="140"/>
      <c r="AP175" s="140"/>
      <c r="AQ175" s="138"/>
      <c r="AR175" s="140"/>
      <c r="AS175" s="140"/>
      <c r="AT175" s="140"/>
      <c r="AU175" s="140"/>
      <c r="AV175" s="138"/>
      <c r="AW175" s="138"/>
      <c r="AX175" s="140"/>
      <c r="AY175" s="140"/>
      <c r="AZ175" s="140"/>
      <c r="BA175" s="140"/>
      <c r="BB175" s="140"/>
      <c r="BC175" s="140"/>
    </row>
    <row r="176" ht="15.75" customHeight="1">
      <c r="C176" s="137"/>
      <c r="D176" s="138"/>
      <c r="E176" s="138"/>
      <c r="F176" s="138"/>
      <c r="J176" s="138"/>
      <c r="K176" s="138"/>
      <c r="L176" s="138"/>
      <c r="M176" s="139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32"/>
      <c r="AE176" s="140"/>
      <c r="AF176" s="140"/>
      <c r="AG176" s="140"/>
      <c r="AH176" s="140"/>
      <c r="AI176" s="140"/>
      <c r="AJ176" s="141"/>
      <c r="AK176" s="140"/>
      <c r="AL176" s="140"/>
      <c r="AM176" s="140"/>
      <c r="AN176" s="140"/>
      <c r="AO176" s="140"/>
      <c r="AP176" s="140"/>
      <c r="AQ176" s="138"/>
      <c r="AR176" s="140"/>
      <c r="AS176" s="140"/>
      <c r="AT176" s="140"/>
      <c r="AU176" s="140"/>
      <c r="AV176" s="138"/>
      <c r="AW176" s="138"/>
      <c r="AX176" s="140"/>
      <c r="AY176" s="140"/>
      <c r="AZ176" s="140"/>
      <c r="BA176" s="140"/>
      <c r="BB176" s="140"/>
      <c r="BC176" s="140"/>
    </row>
    <row r="177" ht="15.75" customHeight="1">
      <c r="C177" s="137"/>
      <c r="D177" s="138"/>
      <c r="E177" s="138"/>
      <c r="F177" s="138"/>
      <c r="J177" s="138"/>
      <c r="K177" s="138"/>
      <c r="L177" s="138"/>
      <c r="M177" s="139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32"/>
      <c r="AE177" s="140"/>
      <c r="AF177" s="140"/>
      <c r="AG177" s="140"/>
      <c r="AH177" s="140"/>
      <c r="AI177" s="140"/>
      <c r="AJ177" s="141"/>
      <c r="AK177" s="140"/>
      <c r="AL177" s="140"/>
      <c r="AM177" s="140"/>
      <c r="AN177" s="140"/>
      <c r="AO177" s="140"/>
      <c r="AP177" s="140"/>
      <c r="AQ177" s="138"/>
      <c r="AR177" s="140"/>
      <c r="AS177" s="140"/>
      <c r="AT177" s="140"/>
      <c r="AU177" s="140"/>
      <c r="AV177" s="138"/>
      <c r="AW177" s="138"/>
      <c r="AX177" s="140"/>
      <c r="AY177" s="140"/>
      <c r="AZ177" s="140"/>
      <c r="BA177" s="140"/>
      <c r="BB177" s="140"/>
      <c r="BC177" s="140"/>
    </row>
    <row r="178" ht="15.75" customHeight="1">
      <c r="C178" s="137"/>
      <c r="D178" s="138"/>
      <c r="E178" s="138"/>
      <c r="F178" s="138"/>
      <c r="J178" s="138"/>
      <c r="K178" s="138"/>
      <c r="L178" s="138"/>
      <c r="M178" s="139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32"/>
      <c r="AE178" s="140"/>
      <c r="AF178" s="140"/>
      <c r="AG178" s="140"/>
      <c r="AH178" s="140"/>
      <c r="AI178" s="140"/>
      <c r="AJ178" s="141"/>
      <c r="AK178" s="140"/>
      <c r="AL178" s="140"/>
      <c r="AM178" s="140"/>
      <c r="AN178" s="140"/>
      <c r="AO178" s="140"/>
      <c r="AP178" s="140"/>
      <c r="AQ178" s="138"/>
      <c r="AR178" s="140"/>
      <c r="AS178" s="140"/>
      <c r="AT178" s="140"/>
      <c r="AU178" s="140"/>
      <c r="AV178" s="138"/>
      <c r="AW178" s="138"/>
      <c r="AX178" s="140"/>
      <c r="AY178" s="140"/>
      <c r="AZ178" s="140"/>
      <c r="BA178" s="140"/>
      <c r="BB178" s="140"/>
      <c r="BC178" s="140"/>
    </row>
    <row r="179" ht="15.75" customHeight="1">
      <c r="C179" s="137"/>
      <c r="D179" s="138"/>
      <c r="E179" s="138"/>
      <c r="F179" s="138"/>
      <c r="J179" s="138"/>
      <c r="K179" s="138"/>
      <c r="L179" s="138"/>
      <c r="M179" s="139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32"/>
      <c r="AE179" s="140"/>
      <c r="AF179" s="140"/>
      <c r="AG179" s="140"/>
      <c r="AH179" s="140"/>
      <c r="AI179" s="140"/>
      <c r="AJ179" s="141"/>
      <c r="AK179" s="140"/>
      <c r="AL179" s="140"/>
      <c r="AM179" s="140"/>
      <c r="AN179" s="140"/>
      <c r="AO179" s="140"/>
      <c r="AP179" s="140"/>
      <c r="AQ179" s="138"/>
      <c r="AR179" s="140"/>
      <c r="AS179" s="140"/>
      <c r="AT179" s="140"/>
      <c r="AU179" s="140"/>
      <c r="AV179" s="138"/>
      <c r="AW179" s="138"/>
      <c r="AX179" s="140"/>
      <c r="AY179" s="140"/>
      <c r="AZ179" s="140"/>
      <c r="BA179" s="140"/>
      <c r="BB179" s="140"/>
      <c r="BC179" s="140"/>
    </row>
    <row r="180" ht="15.75" customHeight="1">
      <c r="C180" s="137"/>
      <c r="D180" s="138"/>
      <c r="E180" s="138"/>
      <c r="F180" s="138"/>
      <c r="J180" s="138"/>
      <c r="K180" s="138"/>
      <c r="L180" s="138"/>
      <c r="M180" s="139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32"/>
      <c r="AE180" s="140"/>
      <c r="AF180" s="140"/>
      <c r="AG180" s="140"/>
      <c r="AH180" s="140"/>
      <c r="AI180" s="140"/>
      <c r="AJ180" s="141"/>
      <c r="AK180" s="140"/>
      <c r="AL180" s="140"/>
      <c r="AM180" s="140"/>
      <c r="AN180" s="140"/>
      <c r="AO180" s="140"/>
      <c r="AP180" s="140"/>
      <c r="AQ180" s="138"/>
      <c r="AR180" s="140"/>
      <c r="AS180" s="140"/>
      <c r="AT180" s="140"/>
      <c r="AU180" s="140"/>
      <c r="AV180" s="138"/>
      <c r="AW180" s="138"/>
      <c r="AX180" s="140"/>
      <c r="AY180" s="140"/>
      <c r="AZ180" s="140"/>
      <c r="BA180" s="140"/>
      <c r="BB180" s="140"/>
      <c r="BC180" s="140"/>
    </row>
    <row r="181" ht="15.75" customHeight="1">
      <c r="C181" s="137"/>
      <c r="D181" s="138"/>
      <c r="E181" s="138"/>
      <c r="F181" s="138"/>
      <c r="J181" s="138"/>
      <c r="K181" s="138"/>
      <c r="L181" s="138"/>
      <c r="M181" s="139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32"/>
      <c r="AE181" s="140"/>
      <c r="AF181" s="140"/>
      <c r="AG181" s="140"/>
      <c r="AH181" s="140"/>
      <c r="AI181" s="140"/>
      <c r="AJ181" s="141"/>
      <c r="AK181" s="140"/>
      <c r="AL181" s="140"/>
      <c r="AM181" s="140"/>
      <c r="AN181" s="140"/>
      <c r="AO181" s="140"/>
      <c r="AP181" s="140"/>
      <c r="AQ181" s="138"/>
      <c r="AR181" s="140"/>
      <c r="AS181" s="140"/>
      <c r="AT181" s="140"/>
      <c r="AU181" s="140"/>
      <c r="AV181" s="138"/>
      <c r="AW181" s="138"/>
      <c r="AX181" s="140"/>
      <c r="AY181" s="140"/>
      <c r="AZ181" s="140"/>
      <c r="BA181" s="140"/>
      <c r="BB181" s="140"/>
      <c r="BC181" s="140"/>
    </row>
    <row r="182" ht="15.75" customHeight="1">
      <c r="C182" s="137"/>
      <c r="D182" s="138"/>
      <c r="E182" s="138"/>
      <c r="F182" s="138"/>
      <c r="J182" s="138"/>
      <c r="K182" s="138"/>
      <c r="L182" s="138"/>
      <c r="M182" s="139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32"/>
      <c r="AE182" s="140"/>
      <c r="AF182" s="140"/>
      <c r="AG182" s="140"/>
      <c r="AH182" s="140"/>
      <c r="AI182" s="140"/>
      <c r="AJ182" s="141"/>
      <c r="AK182" s="140"/>
      <c r="AL182" s="140"/>
      <c r="AM182" s="140"/>
      <c r="AN182" s="140"/>
      <c r="AO182" s="140"/>
      <c r="AP182" s="140"/>
      <c r="AQ182" s="138"/>
      <c r="AR182" s="140"/>
      <c r="AS182" s="140"/>
      <c r="AT182" s="140"/>
      <c r="AU182" s="140"/>
      <c r="AV182" s="138"/>
      <c r="AW182" s="138"/>
      <c r="AX182" s="140"/>
      <c r="AY182" s="140"/>
      <c r="AZ182" s="140"/>
      <c r="BA182" s="140"/>
      <c r="BB182" s="140"/>
      <c r="BC182" s="140"/>
    </row>
    <row r="183" ht="15.75" customHeight="1">
      <c r="C183" s="137"/>
      <c r="D183" s="138"/>
      <c r="E183" s="138"/>
      <c r="F183" s="138"/>
      <c r="J183" s="138"/>
      <c r="K183" s="138"/>
      <c r="L183" s="138"/>
      <c r="M183" s="139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32"/>
      <c r="AE183" s="140"/>
      <c r="AF183" s="140"/>
      <c r="AG183" s="140"/>
      <c r="AH183" s="140"/>
      <c r="AI183" s="140"/>
      <c r="AJ183" s="141"/>
      <c r="AK183" s="140"/>
      <c r="AL183" s="140"/>
      <c r="AM183" s="140"/>
      <c r="AN183" s="140"/>
      <c r="AO183" s="140"/>
      <c r="AP183" s="140"/>
      <c r="AQ183" s="138"/>
      <c r="AR183" s="140"/>
      <c r="AS183" s="140"/>
      <c r="AT183" s="140"/>
      <c r="AU183" s="140"/>
      <c r="AV183" s="138"/>
      <c r="AW183" s="138"/>
      <c r="AX183" s="140"/>
      <c r="AY183" s="140"/>
      <c r="AZ183" s="140"/>
      <c r="BA183" s="140"/>
      <c r="BB183" s="140"/>
      <c r="BC183" s="140"/>
    </row>
    <row r="184" ht="15.75" customHeight="1">
      <c r="C184" s="137"/>
      <c r="D184" s="138"/>
      <c r="E184" s="138"/>
      <c r="F184" s="138"/>
      <c r="J184" s="138"/>
      <c r="K184" s="138"/>
      <c r="L184" s="138"/>
      <c r="M184" s="139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32"/>
      <c r="AE184" s="140"/>
      <c r="AF184" s="140"/>
      <c r="AG184" s="140"/>
      <c r="AH184" s="140"/>
      <c r="AI184" s="140"/>
      <c r="AJ184" s="141"/>
      <c r="AK184" s="140"/>
      <c r="AL184" s="140"/>
      <c r="AM184" s="140"/>
      <c r="AN184" s="140"/>
      <c r="AO184" s="140"/>
      <c r="AP184" s="140"/>
      <c r="AQ184" s="138"/>
      <c r="AR184" s="140"/>
      <c r="AS184" s="140"/>
      <c r="AT184" s="140"/>
      <c r="AU184" s="140"/>
      <c r="AV184" s="138"/>
      <c r="AW184" s="138"/>
      <c r="AX184" s="140"/>
      <c r="AY184" s="140"/>
      <c r="AZ184" s="140"/>
      <c r="BA184" s="140"/>
      <c r="BB184" s="140"/>
      <c r="BC184" s="140"/>
    </row>
    <row r="185" ht="15.75" customHeight="1">
      <c r="C185" s="137"/>
      <c r="D185" s="138"/>
      <c r="E185" s="138"/>
      <c r="F185" s="138"/>
      <c r="J185" s="138"/>
      <c r="K185" s="138"/>
      <c r="L185" s="138"/>
      <c r="M185" s="139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32"/>
      <c r="AE185" s="140"/>
      <c r="AF185" s="140"/>
      <c r="AG185" s="140"/>
      <c r="AH185" s="140"/>
      <c r="AI185" s="140"/>
      <c r="AJ185" s="141"/>
      <c r="AK185" s="140"/>
      <c r="AL185" s="140"/>
      <c r="AM185" s="140"/>
      <c r="AN185" s="140"/>
      <c r="AO185" s="140"/>
      <c r="AP185" s="140"/>
      <c r="AQ185" s="138"/>
      <c r="AR185" s="140"/>
      <c r="AS185" s="140"/>
      <c r="AT185" s="140"/>
      <c r="AU185" s="140"/>
      <c r="AV185" s="138"/>
      <c r="AW185" s="138"/>
      <c r="AX185" s="140"/>
      <c r="AY185" s="140"/>
      <c r="AZ185" s="140"/>
      <c r="BA185" s="140"/>
      <c r="BB185" s="140"/>
      <c r="BC185" s="140"/>
    </row>
    <row r="186" ht="15.75" customHeight="1">
      <c r="C186" s="137"/>
      <c r="D186" s="138"/>
      <c r="E186" s="138"/>
      <c r="F186" s="138"/>
      <c r="J186" s="138"/>
      <c r="K186" s="138"/>
      <c r="L186" s="138"/>
      <c r="M186" s="139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32"/>
      <c r="AE186" s="140"/>
      <c r="AF186" s="140"/>
      <c r="AG186" s="140"/>
      <c r="AH186" s="140"/>
      <c r="AI186" s="140"/>
      <c r="AJ186" s="141"/>
      <c r="AK186" s="140"/>
      <c r="AL186" s="140"/>
      <c r="AM186" s="140"/>
      <c r="AN186" s="140"/>
      <c r="AO186" s="140"/>
      <c r="AP186" s="140"/>
      <c r="AQ186" s="138"/>
      <c r="AR186" s="140"/>
      <c r="AS186" s="140"/>
      <c r="AT186" s="140"/>
      <c r="AU186" s="140"/>
      <c r="AV186" s="138"/>
      <c r="AW186" s="138"/>
      <c r="AX186" s="140"/>
      <c r="AY186" s="140"/>
      <c r="AZ186" s="140"/>
      <c r="BA186" s="140"/>
      <c r="BB186" s="140"/>
      <c r="BC186" s="140"/>
    </row>
    <row r="187" ht="15.75" customHeight="1">
      <c r="C187" s="137"/>
      <c r="D187" s="138"/>
      <c r="E187" s="138"/>
      <c r="F187" s="138"/>
      <c r="J187" s="138"/>
      <c r="K187" s="138"/>
      <c r="L187" s="138"/>
      <c r="M187" s="139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32"/>
      <c r="AE187" s="140"/>
      <c r="AF187" s="140"/>
      <c r="AG187" s="140"/>
      <c r="AH187" s="140"/>
      <c r="AI187" s="140"/>
      <c r="AJ187" s="141"/>
      <c r="AK187" s="140"/>
      <c r="AL187" s="140"/>
      <c r="AM187" s="140"/>
      <c r="AN187" s="140"/>
      <c r="AO187" s="140"/>
      <c r="AP187" s="140"/>
      <c r="AQ187" s="138"/>
      <c r="AR187" s="140"/>
      <c r="AS187" s="140"/>
      <c r="AT187" s="140"/>
      <c r="AU187" s="140"/>
      <c r="AV187" s="138"/>
      <c r="AW187" s="138"/>
      <c r="AX187" s="140"/>
      <c r="AY187" s="140"/>
      <c r="AZ187" s="140"/>
      <c r="BA187" s="140"/>
      <c r="BB187" s="140"/>
      <c r="BC187" s="140"/>
    </row>
    <row r="188" ht="15.75" customHeight="1">
      <c r="C188" s="137"/>
      <c r="D188" s="138"/>
      <c r="E188" s="138"/>
      <c r="F188" s="138"/>
      <c r="J188" s="138"/>
      <c r="K188" s="138"/>
      <c r="L188" s="138"/>
      <c r="M188" s="139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32"/>
      <c r="AE188" s="140"/>
      <c r="AF188" s="140"/>
      <c r="AG188" s="140"/>
      <c r="AH188" s="140"/>
      <c r="AI188" s="140"/>
      <c r="AJ188" s="141"/>
      <c r="AK188" s="140"/>
      <c r="AL188" s="140"/>
      <c r="AM188" s="140"/>
      <c r="AN188" s="140"/>
      <c r="AO188" s="140"/>
      <c r="AP188" s="140"/>
      <c r="AQ188" s="138"/>
      <c r="AR188" s="140"/>
      <c r="AS188" s="140"/>
      <c r="AT188" s="140"/>
      <c r="AU188" s="140"/>
      <c r="AV188" s="138"/>
      <c r="AW188" s="138"/>
      <c r="AX188" s="140"/>
      <c r="AY188" s="140"/>
      <c r="AZ188" s="140"/>
      <c r="BA188" s="140"/>
      <c r="BB188" s="140"/>
      <c r="BC188" s="140"/>
    </row>
    <row r="189" ht="15.75" customHeight="1">
      <c r="C189" s="137"/>
      <c r="D189" s="138"/>
      <c r="E189" s="138"/>
      <c r="F189" s="138"/>
      <c r="J189" s="138"/>
      <c r="K189" s="138"/>
      <c r="L189" s="138"/>
      <c r="M189" s="139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32"/>
      <c r="AE189" s="140"/>
      <c r="AF189" s="140"/>
      <c r="AG189" s="140"/>
      <c r="AH189" s="140"/>
      <c r="AI189" s="140"/>
      <c r="AJ189" s="141"/>
      <c r="AK189" s="140"/>
      <c r="AL189" s="140"/>
      <c r="AM189" s="140"/>
      <c r="AN189" s="140"/>
      <c r="AO189" s="140"/>
      <c r="AP189" s="140"/>
      <c r="AQ189" s="138"/>
      <c r="AR189" s="140"/>
      <c r="AS189" s="140"/>
      <c r="AT189" s="140"/>
      <c r="AU189" s="140"/>
      <c r="AV189" s="138"/>
      <c r="AW189" s="138"/>
      <c r="AX189" s="140"/>
      <c r="AY189" s="140"/>
      <c r="AZ189" s="140"/>
      <c r="BA189" s="140"/>
      <c r="BB189" s="140"/>
      <c r="BC189" s="140"/>
    </row>
    <row r="190" ht="15.75" customHeight="1">
      <c r="C190" s="137"/>
      <c r="D190" s="138"/>
      <c r="E190" s="138"/>
      <c r="F190" s="138"/>
      <c r="J190" s="138"/>
      <c r="K190" s="138"/>
      <c r="L190" s="138"/>
      <c r="M190" s="139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32"/>
      <c r="AE190" s="140"/>
      <c r="AF190" s="140"/>
      <c r="AG190" s="140"/>
      <c r="AH190" s="140"/>
      <c r="AI190" s="140"/>
      <c r="AJ190" s="141"/>
      <c r="AK190" s="140"/>
      <c r="AL190" s="140"/>
      <c r="AM190" s="140"/>
      <c r="AN190" s="140"/>
      <c r="AO190" s="140"/>
      <c r="AP190" s="140"/>
      <c r="AQ190" s="138"/>
      <c r="AR190" s="140"/>
      <c r="AS190" s="140"/>
      <c r="AT190" s="140"/>
      <c r="AU190" s="140"/>
      <c r="AV190" s="138"/>
      <c r="AW190" s="138"/>
      <c r="AX190" s="140"/>
      <c r="AY190" s="140"/>
      <c r="AZ190" s="140"/>
      <c r="BA190" s="140"/>
      <c r="BB190" s="140"/>
      <c r="BC190" s="140"/>
    </row>
    <row r="191" ht="15.75" customHeight="1">
      <c r="C191" s="137"/>
      <c r="D191" s="138"/>
      <c r="E191" s="138"/>
      <c r="F191" s="138"/>
      <c r="J191" s="138"/>
      <c r="K191" s="138"/>
      <c r="L191" s="138"/>
      <c r="M191" s="139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32"/>
      <c r="AE191" s="140"/>
      <c r="AF191" s="140"/>
      <c r="AG191" s="140"/>
      <c r="AH191" s="140"/>
      <c r="AI191" s="140"/>
      <c r="AJ191" s="141"/>
      <c r="AK191" s="140"/>
      <c r="AL191" s="140"/>
      <c r="AM191" s="140"/>
      <c r="AN191" s="140"/>
      <c r="AO191" s="140"/>
      <c r="AP191" s="140"/>
      <c r="AQ191" s="138"/>
      <c r="AR191" s="140"/>
      <c r="AS191" s="140"/>
      <c r="AT191" s="140"/>
      <c r="AU191" s="140"/>
      <c r="AV191" s="138"/>
      <c r="AW191" s="138"/>
      <c r="AX191" s="140"/>
      <c r="AY191" s="140"/>
      <c r="AZ191" s="140"/>
      <c r="BA191" s="140"/>
      <c r="BB191" s="140"/>
      <c r="BC191" s="140"/>
    </row>
    <row r="192" ht="15.75" customHeight="1">
      <c r="C192" s="137"/>
      <c r="D192" s="138"/>
      <c r="E192" s="138"/>
      <c r="F192" s="138"/>
      <c r="J192" s="138"/>
      <c r="K192" s="138"/>
      <c r="L192" s="138"/>
      <c r="M192" s="139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32"/>
      <c r="AE192" s="140"/>
      <c r="AF192" s="140"/>
      <c r="AG192" s="140"/>
      <c r="AH192" s="140"/>
      <c r="AI192" s="140"/>
      <c r="AJ192" s="141"/>
      <c r="AK192" s="140"/>
      <c r="AL192" s="140"/>
      <c r="AM192" s="140"/>
      <c r="AN192" s="140"/>
      <c r="AO192" s="140"/>
      <c r="AP192" s="140"/>
      <c r="AQ192" s="138"/>
      <c r="AR192" s="140"/>
      <c r="AS192" s="140"/>
      <c r="AT192" s="140"/>
      <c r="AU192" s="140"/>
      <c r="AV192" s="138"/>
      <c r="AW192" s="138"/>
      <c r="AX192" s="140"/>
      <c r="AY192" s="140"/>
      <c r="AZ192" s="140"/>
      <c r="BA192" s="140"/>
      <c r="BB192" s="140"/>
      <c r="BC192" s="140"/>
    </row>
    <row r="193" ht="15.75" customHeight="1">
      <c r="C193" s="137"/>
      <c r="D193" s="138"/>
      <c r="E193" s="138"/>
      <c r="F193" s="138"/>
      <c r="J193" s="138"/>
      <c r="K193" s="138"/>
      <c r="L193" s="138"/>
      <c r="M193" s="139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32"/>
      <c r="AE193" s="140"/>
      <c r="AF193" s="140"/>
      <c r="AG193" s="140"/>
      <c r="AH193" s="140"/>
      <c r="AI193" s="140"/>
      <c r="AJ193" s="141"/>
      <c r="AK193" s="140"/>
      <c r="AL193" s="140"/>
      <c r="AM193" s="140"/>
      <c r="AN193" s="140"/>
      <c r="AO193" s="140"/>
      <c r="AP193" s="140"/>
      <c r="AQ193" s="138"/>
      <c r="AR193" s="140"/>
      <c r="AS193" s="140"/>
      <c r="AT193" s="140"/>
      <c r="AU193" s="140"/>
      <c r="AV193" s="138"/>
      <c r="AW193" s="138"/>
      <c r="AX193" s="140"/>
      <c r="AY193" s="140"/>
      <c r="AZ193" s="140"/>
      <c r="BA193" s="140"/>
      <c r="BB193" s="140"/>
      <c r="BC193" s="140"/>
    </row>
    <row r="194" ht="15.75" customHeight="1">
      <c r="C194" s="137"/>
      <c r="D194" s="138"/>
      <c r="E194" s="138"/>
      <c r="F194" s="138"/>
      <c r="J194" s="138"/>
      <c r="K194" s="138"/>
      <c r="L194" s="138"/>
      <c r="M194" s="139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32"/>
      <c r="AE194" s="140"/>
      <c r="AF194" s="140"/>
      <c r="AG194" s="140"/>
      <c r="AH194" s="140"/>
      <c r="AI194" s="140"/>
      <c r="AJ194" s="141"/>
      <c r="AK194" s="140"/>
      <c r="AL194" s="140"/>
      <c r="AM194" s="140"/>
      <c r="AN194" s="140"/>
      <c r="AO194" s="140"/>
      <c r="AP194" s="140"/>
      <c r="AQ194" s="138"/>
      <c r="AR194" s="140"/>
      <c r="AS194" s="140"/>
      <c r="AT194" s="140"/>
      <c r="AU194" s="140"/>
      <c r="AV194" s="138"/>
      <c r="AW194" s="138"/>
      <c r="AX194" s="140"/>
      <c r="AY194" s="140"/>
      <c r="AZ194" s="140"/>
      <c r="BA194" s="140"/>
      <c r="BB194" s="140"/>
      <c r="BC194" s="140"/>
    </row>
    <row r="195" ht="15.75" customHeight="1">
      <c r="C195" s="137"/>
      <c r="D195" s="138"/>
      <c r="E195" s="138"/>
      <c r="F195" s="138"/>
      <c r="J195" s="138"/>
      <c r="K195" s="138"/>
      <c r="L195" s="138"/>
      <c r="M195" s="139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32"/>
      <c r="AE195" s="140"/>
      <c r="AF195" s="140"/>
      <c r="AG195" s="140"/>
      <c r="AH195" s="140"/>
      <c r="AI195" s="140"/>
      <c r="AJ195" s="141"/>
      <c r="AK195" s="140"/>
      <c r="AL195" s="140"/>
      <c r="AM195" s="140"/>
      <c r="AN195" s="140"/>
      <c r="AO195" s="140"/>
      <c r="AP195" s="140"/>
      <c r="AQ195" s="138"/>
      <c r="AR195" s="140"/>
      <c r="AS195" s="140"/>
      <c r="AT195" s="140"/>
      <c r="AU195" s="140"/>
      <c r="AV195" s="138"/>
      <c r="AW195" s="138"/>
      <c r="AX195" s="140"/>
      <c r="AY195" s="140"/>
      <c r="AZ195" s="140"/>
      <c r="BA195" s="140"/>
      <c r="BB195" s="140"/>
      <c r="BC195" s="140"/>
    </row>
    <row r="196" ht="15.75" customHeight="1">
      <c r="C196" s="137"/>
      <c r="D196" s="138"/>
      <c r="E196" s="138"/>
      <c r="F196" s="138"/>
      <c r="J196" s="138"/>
      <c r="K196" s="138"/>
      <c r="L196" s="138"/>
      <c r="M196" s="139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32"/>
      <c r="AE196" s="140"/>
      <c r="AF196" s="140"/>
      <c r="AG196" s="140"/>
      <c r="AH196" s="140"/>
      <c r="AI196" s="140"/>
      <c r="AJ196" s="141"/>
      <c r="AK196" s="140"/>
      <c r="AL196" s="140"/>
      <c r="AM196" s="140"/>
      <c r="AN196" s="140"/>
      <c r="AO196" s="140"/>
      <c r="AP196" s="140"/>
      <c r="AQ196" s="138"/>
      <c r="AR196" s="140"/>
      <c r="AS196" s="140"/>
      <c r="AT196" s="140"/>
      <c r="AU196" s="140"/>
      <c r="AV196" s="138"/>
      <c r="AW196" s="138"/>
      <c r="AX196" s="140"/>
      <c r="AY196" s="140"/>
      <c r="AZ196" s="140"/>
      <c r="BA196" s="140"/>
      <c r="BB196" s="140"/>
      <c r="BC196" s="140"/>
    </row>
    <row r="197" ht="15.75" customHeight="1">
      <c r="C197" s="137"/>
      <c r="D197" s="138"/>
      <c r="E197" s="138"/>
      <c r="F197" s="138"/>
      <c r="J197" s="138"/>
      <c r="K197" s="138"/>
      <c r="L197" s="138"/>
      <c r="M197" s="139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32"/>
      <c r="AE197" s="140"/>
      <c r="AF197" s="140"/>
      <c r="AG197" s="140"/>
      <c r="AH197" s="140"/>
      <c r="AI197" s="140"/>
      <c r="AJ197" s="141"/>
      <c r="AK197" s="140"/>
      <c r="AL197" s="140"/>
      <c r="AM197" s="140"/>
      <c r="AN197" s="140"/>
      <c r="AO197" s="140"/>
      <c r="AP197" s="140"/>
      <c r="AQ197" s="138"/>
      <c r="AR197" s="140"/>
      <c r="AS197" s="140"/>
      <c r="AT197" s="140"/>
      <c r="AU197" s="140"/>
      <c r="AV197" s="138"/>
      <c r="AW197" s="138"/>
      <c r="AX197" s="140"/>
      <c r="AY197" s="140"/>
      <c r="AZ197" s="140"/>
      <c r="BA197" s="140"/>
      <c r="BB197" s="140"/>
      <c r="BC197" s="140"/>
    </row>
    <row r="198" ht="15.75" customHeight="1">
      <c r="C198" s="137"/>
      <c r="D198" s="138"/>
      <c r="E198" s="138"/>
      <c r="F198" s="138"/>
      <c r="J198" s="138"/>
      <c r="K198" s="138"/>
      <c r="L198" s="138"/>
      <c r="M198" s="139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32"/>
      <c r="AE198" s="140"/>
      <c r="AF198" s="140"/>
      <c r="AG198" s="140"/>
      <c r="AH198" s="140"/>
      <c r="AI198" s="140"/>
      <c r="AJ198" s="141"/>
      <c r="AK198" s="140"/>
      <c r="AL198" s="140"/>
      <c r="AM198" s="140"/>
      <c r="AN198" s="140"/>
      <c r="AO198" s="140"/>
      <c r="AP198" s="140"/>
      <c r="AQ198" s="138"/>
      <c r="AR198" s="140"/>
      <c r="AS198" s="140"/>
      <c r="AT198" s="140"/>
      <c r="AU198" s="140"/>
      <c r="AV198" s="138"/>
      <c r="AW198" s="138"/>
      <c r="AX198" s="140"/>
      <c r="AY198" s="140"/>
      <c r="AZ198" s="140"/>
      <c r="BA198" s="140"/>
      <c r="BB198" s="140"/>
      <c r="BC198" s="140"/>
    </row>
    <row r="199" ht="15.75" customHeight="1">
      <c r="C199" s="137"/>
      <c r="D199" s="138"/>
      <c r="E199" s="138"/>
      <c r="F199" s="138"/>
      <c r="J199" s="138"/>
      <c r="K199" s="138"/>
      <c r="L199" s="138"/>
      <c r="M199" s="139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32"/>
      <c r="AE199" s="140"/>
      <c r="AF199" s="140"/>
      <c r="AG199" s="140"/>
      <c r="AH199" s="140"/>
      <c r="AI199" s="140"/>
      <c r="AJ199" s="141"/>
      <c r="AK199" s="140"/>
      <c r="AL199" s="140"/>
      <c r="AM199" s="140"/>
      <c r="AN199" s="140"/>
      <c r="AO199" s="140"/>
      <c r="AP199" s="140"/>
      <c r="AQ199" s="138"/>
      <c r="AR199" s="140"/>
      <c r="AS199" s="140"/>
      <c r="AT199" s="140"/>
      <c r="AU199" s="140"/>
      <c r="AV199" s="138"/>
      <c r="AW199" s="138"/>
      <c r="AX199" s="140"/>
      <c r="AY199" s="140"/>
      <c r="AZ199" s="140"/>
      <c r="BA199" s="140"/>
      <c r="BB199" s="140"/>
      <c r="BC199" s="140"/>
    </row>
    <row r="200" ht="15.75" customHeight="1">
      <c r="C200" s="137"/>
      <c r="D200" s="138"/>
      <c r="E200" s="138"/>
      <c r="F200" s="138"/>
      <c r="J200" s="138"/>
      <c r="K200" s="138"/>
      <c r="L200" s="138"/>
      <c r="M200" s="139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32"/>
      <c r="AE200" s="140"/>
      <c r="AF200" s="140"/>
      <c r="AG200" s="140"/>
      <c r="AH200" s="140"/>
      <c r="AI200" s="140"/>
      <c r="AJ200" s="141"/>
      <c r="AK200" s="140"/>
      <c r="AL200" s="140"/>
      <c r="AM200" s="140"/>
      <c r="AN200" s="140"/>
      <c r="AO200" s="140"/>
      <c r="AP200" s="140"/>
      <c r="AQ200" s="138"/>
      <c r="AR200" s="140"/>
      <c r="AS200" s="140"/>
      <c r="AT200" s="140"/>
      <c r="AU200" s="140"/>
      <c r="AV200" s="138"/>
      <c r="AW200" s="138"/>
      <c r="AX200" s="140"/>
      <c r="AY200" s="140"/>
      <c r="AZ200" s="140"/>
      <c r="BA200" s="140"/>
      <c r="BB200" s="140"/>
      <c r="BC200" s="140"/>
    </row>
    <row r="201" ht="15.75" customHeight="1">
      <c r="C201" s="137"/>
      <c r="D201" s="138"/>
      <c r="E201" s="138"/>
      <c r="F201" s="138"/>
      <c r="J201" s="138"/>
      <c r="K201" s="138"/>
      <c r="L201" s="138"/>
      <c r="M201" s="139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32"/>
      <c r="AE201" s="140"/>
      <c r="AF201" s="140"/>
      <c r="AG201" s="140"/>
      <c r="AH201" s="140"/>
      <c r="AI201" s="140"/>
      <c r="AJ201" s="141"/>
      <c r="AK201" s="140"/>
      <c r="AL201" s="140"/>
      <c r="AM201" s="140"/>
      <c r="AN201" s="140"/>
      <c r="AO201" s="140"/>
      <c r="AP201" s="140"/>
      <c r="AQ201" s="138"/>
      <c r="AR201" s="140"/>
      <c r="AS201" s="140"/>
      <c r="AT201" s="140"/>
      <c r="AU201" s="140"/>
      <c r="AV201" s="138"/>
      <c r="AW201" s="138"/>
      <c r="AX201" s="140"/>
      <c r="AY201" s="140"/>
      <c r="AZ201" s="140"/>
      <c r="BA201" s="140"/>
      <c r="BB201" s="140"/>
      <c r="BC201" s="140"/>
    </row>
    <row r="202" ht="15.75" customHeight="1">
      <c r="C202" s="137"/>
      <c r="D202" s="138"/>
      <c r="E202" s="138"/>
      <c r="F202" s="138"/>
      <c r="J202" s="138"/>
      <c r="K202" s="138"/>
      <c r="L202" s="138"/>
      <c r="M202" s="139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32"/>
      <c r="AE202" s="140"/>
      <c r="AF202" s="140"/>
      <c r="AG202" s="140"/>
      <c r="AH202" s="140"/>
      <c r="AI202" s="140"/>
      <c r="AJ202" s="141"/>
      <c r="AK202" s="140"/>
      <c r="AL202" s="140"/>
      <c r="AM202" s="140"/>
      <c r="AN202" s="140"/>
      <c r="AO202" s="140"/>
      <c r="AP202" s="140"/>
      <c r="AQ202" s="138"/>
      <c r="AR202" s="140"/>
      <c r="AS202" s="140"/>
      <c r="AT202" s="140"/>
      <c r="AU202" s="140"/>
      <c r="AV202" s="138"/>
      <c r="AW202" s="138"/>
      <c r="AX202" s="140"/>
      <c r="AY202" s="140"/>
      <c r="AZ202" s="140"/>
      <c r="BA202" s="140"/>
      <c r="BB202" s="140"/>
      <c r="BC202" s="140"/>
    </row>
    <row r="203" ht="15.75" customHeight="1">
      <c r="C203" s="137"/>
      <c r="D203" s="138"/>
      <c r="E203" s="138"/>
      <c r="F203" s="138"/>
      <c r="J203" s="138"/>
      <c r="K203" s="138"/>
      <c r="L203" s="138"/>
      <c r="M203" s="139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32"/>
      <c r="AE203" s="140"/>
      <c r="AF203" s="140"/>
      <c r="AG203" s="140"/>
      <c r="AH203" s="140"/>
      <c r="AI203" s="140"/>
      <c r="AJ203" s="141"/>
      <c r="AK203" s="140"/>
      <c r="AL203" s="140"/>
      <c r="AM203" s="140"/>
      <c r="AN203" s="140"/>
      <c r="AO203" s="140"/>
      <c r="AP203" s="140"/>
      <c r="AQ203" s="138"/>
      <c r="AR203" s="140"/>
      <c r="AS203" s="140"/>
      <c r="AT203" s="140"/>
      <c r="AU203" s="140"/>
      <c r="AV203" s="138"/>
      <c r="AW203" s="138"/>
      <c r="AX203" s="140"/>
      <c r="AY203" s="140"/>
      <c r="AZ203" s="140"/>
      <c r="BA203" s="140"/>
      <c r="BB203" s="140"/>
      <c r="BC203" s="140"/>
    </row>
    <row r="204" ht="15.75" customHeight="1">
      <c r="C204" s="137"/>
      <c r="D204" s="138"/>
      <c r="E204" s="138"/>
      <c r="F204" s="138"/>
      <c r="J204" s="138"/>
      <c r="K204" s="138"/>
      <c r="L204" s="138"/>
      <c r="M204" s="139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32"/>
      <c r="AE204" s="140"/>
      <c r="AF204" s="140"/>
      <c r="AG204" s="140"/>
      <c r="AH204" s="140"/>
      <c r="AI204" s="140"/>
      <c r="AJ204" s="141"/>
      <c r="AK204" s="140"/>
      <c r="AL204" s="140"/>
      <c r="AM204" s="140"/>
      <c r="AN204" s="140"/>
      <c r="AO204" s="140"/>
      <c r="AP204" s="140"/>
      <c r="AQ204" s="138"/>
      <c r="AR204" s="140"/>
      <c r="AS204" s="140"/>
      <c r="AT204" s="140"/>
      <c r="AU204" s="140"/>
      <c r="AV204" s="138"/>
      <c r="AW204" s="138"/>
      <c r="AX204" s="140"/>
      <c r="AY204" s="140"/>
      <c r="AZ204" s="140"/>
      <c r="BA204" s="140"/>
      <c r="BB204" s="140"/>
      <c r="BC204" s="140"/>
    </row>
    <row r="205" ht="15.75" customHeight="1">
      <c r="C205" s="137"/>
      <c r="D205" s="138"/>
      <c r="E205" s="138"/>
      <c r="F205" s="138"/>
      <c r="J205" s="138"/>
      <c r="K205" s="138"/>
      <c r="L205" s="138"/>
      <c r="M205" s="139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32"/>
      <c r="AE205" s="140"/>
      <c r="AF205" s="140"/>
      <c r="AG205" s="140"/>
      <c r="AH205" s="140"/>
      <c r="AI205" s="140"/>
      <c r="AJ205" s="141"/>
      <c r="AK205" s="140"/>
      <c r="AL205" s="140"/>
      <c r="AM205" s="140"/>
      <c r="AN205" s="140"/>
      <c r="AO205" s="140"/>
      <c r="AP205" s="140"/>
      <c r="AQ205" s="138"/>
      <c r="AR205" s="140"/>
      <c r="AS205" s="140"/>
      <c r="AT205" s="140"/>
      <c r="AU205" s="140"/>
      <c r="AV205" s="138"/>
      <c r="AW205" s="138"/>
      <c r="AX205" s="140"/>
      <c r="AY205" s="140"/>
      <c r="AZ205" s="140"/>
      <c r="BA205" s="140"/>
      <c r="BB205" s="140"/>
      <c r="BC205" s="140"/>
    </row>
    <row r="206" ht="15.75" customHeight="1">
      <c r="C206" s="137"/>
      <c r="D206" s="138"/>
      <c r="E206" s="138"/>
      <c r="F206" s="138"/>
      <c r="J206" s="138"/>
      <c r="K206" s="138"/>
      <c r="L206" s="138"/>
      <c r="M206" s="139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32"/>
      <c r="AE206" s="140"/>
      <c r="AF206" s="140"/>
      <c r="AG206" s="140"/>
      <c r="AH206" s="140"/>
      <c r="AI206" s="140"/>
      <c r="AJ206" s="141"/>
      <c r="AK206" s="140"/>
      <c r="AL206" s="140"/>
      <c r="AM206" s="140"/>
      <c r="AN206" s="140"/>
      <c r="AO206" s="140"/>
      <c r="AP206" s="140"/>
      <c r="AQ206" s="138"/>
      <c r="AR206" s="140"/>
      <c r="AS206" s="140"/>
      <c r="AT206" s="140"/>
      <c r="AU206" s="140"/>
      <c r="AV206" s="138"/>
      <c r="AW206" s="138"/>
      <c r="AX206" s="140"/>
      <c r="AY206" s="140"/>
      <c r="AZ206" s="140"/>
      <c r="BA206" s="140"/>
      <c r="BB206" s="140"/>
      <c r="BC206" s="140"/>
    </row>
    <row r="207" ht="15.75" customHeight="1">
      <c r="C207" s="137"/>
      <c r="D207" s="138"/>
      <c r="E207" s="138"/>
      <c r="F207" s="138"/>
      <c r="J207" s="138"/>
      <c r="K207" s="138"/>
      <c r="L207" s="138"/>
      <c r="M207" s="139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32"/>
      <c r="AE207" s="140"/>
      <c r="AF207" s="140"/>
      <c r="AG207" s="140"/>
      <c r="AH207" s="140"/>
      <c r="AI207" s="140"/>
      <c r="AJ207" s="141"/>
      <c r="AK207" s="140"/>
      <c r="AL207" s="140"/>
      <c r="AM207" s="140"/>
      <c r="AN207" s="140"/>
      <c r="AO207" s="140"/>
      <c r="AP207" s="140"/>
      <c r="AQ207" s="138"/>
      <c r="AR207" s="140"/>
      <c r="AS207" s="140"/>
      <c r="AT207" s="140"/>
      <c r="AU207" s="140"/>
      <c r="AV207" s="138"/>
      <c r="AW207" s="138"/>
      <c r="AX207" s="140"/>
      <c r="AY207" s="140"/>
      <c r="AZ207" s="140"/>
      <c r="BA207" s="140"/>
      <c r="BB207" s="140"/>
      <c r="BC207" s="140"/>
    </row>
    <row r="208" ht="15.75" customHeight="1">
      <c r="C208" s="137"/>
      <c r="D208" s="138"/>
      <c r="E208" s="138"/>
      <c r="F208" s="138"/>
      <c r="J208" s="138"/>
      <c r="K208" s="138"/>
      <c r="L208" s="138"/>
      <c r="M208" s="139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32"/>
      <c r="AE208" s="140"/>
      <c r="AF208" s="140"/>
      <c r="AG208" s="140"/>
      <c r="AH208" s="140"/>
      <c r="AI208" s="140"/>
      <c r="AJ208" s="141"/>
      <c r="AK208" s="140"/>
      <c r="AL208" s="140"/>
      <c r="AM208" s="140"/>
      <c r="AN208" s="140"/>
      <c r="AO208" s="140"/>
      <c r="AP208" s="140"/>
      <c r="AQ208" s="138"/>
      <c r="AR208" s="140"/>
      <c r="AS208" s="140"/>
      <c r="AT208" s="140"/>
      <c r="AU208" s="140"/>
      <c r="AV208" s="138"/>
      <c r="AW208" s="138"/>
      <c r="AX208" s="140"/>
      <c r="AY208" s="140"/>
      <c r="AZ208" s="140"/>
      <c r="BA208" s="140"/>
      <c r="BB208" s="140"/>
      <c r="BC208" s="140"/>
    </row>
    <row r="209" ht="15.75" customHeight="1">
      <c r="C209" s="137"/>
      <c r="D209" s="138"/>
      <c r="E209" s="138"/>
      <c r="F209" s="138"/>
      <c r="J209" s="138"/>
      <c r="K209" s="138"/>
      <c r="L209" s="138"/>
      <c r="M209" s="139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32"/>
      <c r="AE209" s="140"/>
      <c r="AF209" s="140"/>
      <c r="AG209" s="140"/>
      <c r="AH209" s="140"/>
      <c r="AI209" s="140"/>
      <c r="AJ209" s="141"/>
      <c r="AK209" s="140"/>
      <c r="AL209" s="140"/>
      <c r="AM209" s="140"/>
      <c r="AN209" s="140"/>
      <c r="AO209" s="140"/>
      <c r="AP209" s="140"/>
      <c r="AQ209" s="138"/>
      <c r="AR209" s="140"/>
      <c r="AS209" s="140"/>
      <c r="AT209" s="140"/>
      <c r="AU209" s="140"/>
      <c r="AV209" s="138"/>
      <c r="AW209" s="138"/>
      <c r="AX209" s="140"/>
      <c r="AY209" s="140"/>
      <c r="AZ209" s="140"/>
      <c r="BA209" s="140"/>
      <c r="BB209" s="140"/>
      <c r="BC209" s="140"/>
    </row>
    <row r="210" ht="15.75" customHeight="1">
      <c r="C210" s="137"/>
      <c r="D210" s="138"/>
      <c r="E210" s="138"/>
      <c r="F210" s="138"/>
      <c r="J210" s="138"/>
      <c r="K210" s="138"/>
      <c r="L210" s="138"/>
      <c r="M210" s="139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32"/>
      <c r="AE210" s="140"/>
      <c r="AF210" s="140"/>
      <c r="AG210" s="140"/>
      <c r="AH210" s="140"/>
      <c r="AI210" s="140"/>
      <c r="AJ210" s="141"/>
      <c r="AK210" s="140"/>
      <c r="AL210" s="140"/>
      <c r="AM210" s="140"/>
      <c r="AN210" s="140"/>
      <c r="AO210" s="140"/>
      <c r="AP210" s="140"/>
      <c r="AQ210" s="138"/>
      <c r="AR210" s="140"/>
      <c r="AS210" s="140"/>
      <c r="AT210" s="140"/>
      <c r="AU210" s="140"/>
      <c r="AV210" s="138"/>
      <c r="AW210" s="138"/>
      <c r="AX210" s="140"/>
      <c r="AY210" s="140"/>
      <c r="AZ210" s="140"/>
      <c r="BA210" s="140"/>
      <c r="BB210" s="140"/>
      <c r="BC210" s="140"/>
    </row>
    <row r="211" ht="15.75" customHeight="1">
      <c r="C211" s="137"/>
      <c r="D211" s="138"/>
      <c r="E211" s="138"/>
      <c r="F211" s="138"/>
      <c r="J211" s="138"/>
      <c r="K211" s="138"/>
      <c r="L211" s="138"/>
      <c r="M211" s="139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32"/>
      <c r="AE211" s="140"/>
      <c r="AF211" s="140"/>
      <c r="AG211" s="140"/>
      <c r="AH211" s="140"/>
      <c r="AI211" s="140"/>
      <c r="AJ211" s="141"/>
      <c r="AK211" s="140"/>
      <c r="AL211" s="140"/>
      <c r="AM211" s="140"/>
      <c r="AN211" s="140"/>
      <c r="AO211" s="140"/>
      <c r="AP211" s="140"/>
      <c r="AQ211" s="138"/>
      <c r="AR211" s="140"/>
      <c r="AS211" s="140"/>
      <c r="AT211" s="140"/>
      <c r="AU211" s="140"/>
      <c r="AV211" s="138"/>
      <c r="AW211" s="138"/>
      <c r="AX211" s="140"/>
      <c r="AY211" s="140"/>
      <c r="AZ211" s="140"/>
      <c r="BA211" s="140"/>
      <c r="BB211" s="140"/>
      <c r="BC211" s="140"/>
    </row>
    <row r="212" ht="15.75" customHeight="1">
      <c r="C212" s="137"/>
      <c r="D212" s="138"/>
      <c r="E212" s="138"/>
      <c r="F212" s="138"/>
      <c r="J212" s="138"/>
      <c r="K212" s="138"/>
      <c r="L212" s="138"/>
      <c r="M212" s="139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32"/>
      <c r="AE212" s="140"/>
      <c r="AF212" s="140"/>
      <c r="AG212" s="140"/>
      <c r="AH212" s="140"/>
      <c r="AI212" s="140"/>
      <c r="AJ212" s="141"/>
      <c r="AK212" s="140"/>
      <c r="AL212" s="140"/>
      <c r="AM212" s="140"/>
      <c r="AN212" s="140"/>
      <c r="AO212" s="140"/>
      <c r="AP212" s="140"/>
      <c r="AQ212" s="138"/>
      <c r="AR212" s="140"/>
      <c r="AS212" s="140"/>
      <c r="AT212" s="140"/>
      <c r="AU212" s="140"/>
      <c r="AV212" s="138"/>
      <c r="AW212" s="138"/>
      <c r="AX212" s="140"/>
      <c r="AY212" s="140"/>
      <c r="AZ212" s="140"/>
      <c r="BA212" s="140"/>
      <c r="BB212" s="140"/>
      <c r="BC212" s="140"/>
    </row>
    <row r="213" ht="15.75" customHeight="1">
      <c r="C213" s="137"/>
      <c r="D213" s="138"/>
      <c r="E213" s="138"/>
      <c r="F213" s="138"/>
      <c r="J213" s="138"/>
      <c r="K213" s="138"/>
      <c r="L213" s="138"/>
      <c r="M213" s="139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32"/>
      <c r="AE213" s="140"/>
      <c r="AF213" s="140"/>
      <c r="AG213" s="140"/>
      <c r="AH213" s="140"/>
      <c r="AI213" s="140"/>
      <c r="AJ213" s="141"/>
      <c r="AK213" s="140"/>
      <c r="AL213" s="140"/>
      <c r="AM213" s="140"/>
      <c r="AN213" s="140"/>
      <c r="AO213" s="140"/>
      <c r="AP213" s="140"/>
      <c r="AQ213" s="138"/>
      <c r="AR213" s="140"/>
      <c r="AS213" s="140"/>
      <c r="AT213" s="140"/>
      <c r="AU213" s="140"/>
      <c r="AV213" s="138"/>
      <c r="AW213" s="138"/>
      <c r="AX213" s="140"/>
      <c r="AY213" s="140"/>
      <c r="AZ213" s="140"/>
      <c r="BA213" s="140"/>
      <c r="BB213" s="140"/>
      <c r="BC213" s="140"/>
    </row>
    <row r="214" ht="15.75" customHeight="1">
      <c r="C214" s="137"/>
      <c r="D214" s="138"/>
      <c r="E214" s="138"/>
      <c r="F214" s="138"/>
      <c r="J214" s="138"/>
      <c r="K214" s="138"/>
      <c r="L214" s="138"/>
      <c r="M214" s="139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32"/>
      <c r="AE214" s="140"/>
      <c r="AF214" s="140"/>
      <c r="AG214" s="140"/>
      <c r="AH214" s="140"/>
      <c r="AI214" s="140"/>
      <c r="AJ214" s="141"/>
      <c r="AK214" s="140"/>
      <c r="AL214" s="140"/>
      <c r="AM214" s="140"/>
      <c r="AN214" s="140"/>
      <c r="AO214" s="140"/>
      <c r="AP214" s="140"/>
      <c r="AQ214" s="138"/>
      <c r="AR214" s="140"/>
      <c r="AS214" s="140"/>
      <c r="AT214" s="140"/>
      <c r="AU214" s="140"/>
      <c r="AV214" s="138"/>
      <c r="AW214" s="138"/>
      <c r="AX214" s="140"/>
      <c r="AY214" s="140"/>
      <c r="AZ214" s="140"/>
      <c r="BA214" s="140"/>
      <c r="BB214" s="140"/>
      <c r="BC214" s="140"/>
    </row>
    <row r="215" ht="15.75" customHeight="1">
      <c r="C215" s="137"/>
      <c r="D215" s="138"/>
      <c r="E215" s="138"/>
      <c r="F215" s="138"/>
      <c r="J215" s="138"/>
      <c r="K215" s="138"/>
      <c r="L215" s="138"/>
      <c r="M215" s="139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32"/>
      <c r="AE215" s="140"/>
      <c r="AF215" s="140"/>
      <c r="AG215" s="140"/>
      <c r="AH215" s="140"/>
      <c r="AI215" s="140"/>
      <c r="AJ215" s="141"/>
      <c r="AK215" s="140"/>
      <c r="AL215" s="140"/>
      <c r="AM215" s="140"/>
      <c r="AN215" s="140"/>
      <c r="AO215" s="140"/>
      <c r="AP215" s="140"/>
      <c r="AQ215" s="138"/>
      <c r="AR215" s="140"/>
      <c r="AS215" s="140"/>
      <c r="AT215" s="140"/>
      <c r="AU215" s="140"/>
      <c r="AV215" s="138"/>
      <c r="AW215" s="138"/>
      <c r="AX215" s="140"/>
      <c r="AY215" s="140"/>
      <c r="AZ215" s="140"/>
      <c r="BA215" s="140"/>
      <c r="BB215" s="140"/>
      <c r="BC215" s="140"/>
    </row>
    <row r="216" ht="15.75" customHeight="1">
      <c r="C216" s="137"/>
      <c r="D216" s="138"/>
      <c r="E216" s="138"/>
      <c r="F216" s="138"/>
      <c r="J216" s="138"/>
      <c r="K216" s="138"/>
      <c r="L216" s="138"/>
      <c r="M216" s="139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32"/>
      <c r="AE216" s="140"/>
      <c r="AF216" s="140"/>
      <c r="AG216" s="140"/>
      <c r="AH216" s="140"/>
      <c r="AI216" s="140"/>
      <c r="AJ216" s="141"/>
      <c r="AK216" s="140"/>
      <c r="AL216" s="140"/>
      <c r="AM216" s="140"/>
      <c r="AN216" s="140"/>
      <c r="AO216" s="140"/>
      <c r="AP216" s="140"/>
      <c r="AQ216" s="138"/>
      <c r="AR216" s="140"/>
      <c r="AS216" s="140"/>
      <c r="AT216" s="140"/>
      <c r="AU216" s="140"/>
      <c r="AV216" s="138"/>
      <c r="AW216" s="138"/>
      <c r="AX216" s="140"/>
      <c r="AY216" s="140"/>
      <c r="AZ216" s="140"/>
      <c r="BA216" s="140"/>
      <c r="BB216" s="140"/>
      <c r="BC216" s="140"/>
    </row>
    <row r="217" ht="15.75" customHeight="1">
      <c r="C217" s="137"/>
      <c r="D217" s="138"/>
      <c r="E217" s="138"/>
      <c r="F217" s="138"/>
      <c r="J217" s="138"/>
      <c r="K217" s="138"/>
      <c r="L217" s="138"/>
      <c r="M217" s="139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32"/>
      <c r="AE217" s="140"/>
      <c r="AF217" s="140"/>
      <c r="AG217" s="140"/>
      <c r="AH217" s="140"/>
      <c r="AI217" s="140"/>
      <c r="AJ217" s="141"/>
      <c r="AK217" s="140"/>
      <c r="AL217" s="140"/>
      <c r="AM217" s="140"/>
      <c r="AN217" s="140"/>
      <c r="AO217" s="140"/>
      <c r="AP217" s="140"/>
      <c r="AQ217" s="138"/>
      <c r="AR217" s="140"/>
      <c r="AS217" s="140"/>
      <c r="AT217" s="140"/>
      <c r="AU217" s="140"/>
      <c r="AV217" s="138"/>
      <c r="AW217" s="138"/>
      <c r="AX217" s="140"/>
      <c r="AY217" s="140"/>
      <c r="AZ217" s="140"/>
      <c r="BA217" s="140"/>
      <c r="BB217" s="140"/>
      <c r="BC217" s="140"/>
    </row>
    <row r="218" ht="15.75" customHeight="1">
      <c r="C218" s="137"/>
      <c r="D218" s="138"/>
      <c r="E218" s="138"/>
      <c r="F218" s="138"/>
      <c r="J218" s="138"/>
      <c r="K218" s="138"/>
      <c r="L218" s="138"/>
      <c r="M218" s="139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32"/>
      <c r="AE218" s="140"/>
      <c r="AF218" s="140"/>
      <c r="AG218" s="140"/>
      <c r="AH218" s="140"/>
      <c r="AI218" s="140"/>
      <c r="AJ218" s="141"/>
      <c r="AK218" s="140"/>
      <c r="AL218" s="140"/>
      <c r="AM218" s="140"/>
      <c r="AN218" s="140"/>
      <c r="AO218" s="140"/>
      <c r="AP218" s="140"/>
      <c r="AQ218" s="138"/>
      <c r="AR218" s="140"/>
      <c r="AS218" s="140"/>
      <c r="AT218" s="140"/>
      <c r="AU218" s="140"/>
      <c r="AV218" s="138"/>
      <c r="AW218" s="138"/>
      <c r="AX218" s="140"/>
      <c r="AY218" s="140"/>
      <c r="AZ218" s="140"/>
      <c r="BA218" s="140"/>
      <c r="BB218" s="140"/>
      <c r="BC218" s="140"/>
    </row>
    <row r="219" ht="15.75" customHeight="1">
      <c r="C219" s="137"/>
      <c r="D219" s="138"/>
      <c r="E219" s="138"/>
      <c r="F219" s="138"/>
      <c r="J219" s="138"/>
      <c r="K219" s="138"/>
      <c r="L219" s="138"/>
      <c r="M219" s="139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32"/>
      <c r="AE219" s="140"/>
      <c r="AF219" s="140"/>
      <c r="AG219" s="140"/>
      <c r="AH219" s="140"/>
      <c r="AI219" s="140"/>
      <c r="AJ219" s="141"/>
      <c r="AK219" s="140"/>
      <c r="AL219" s="140"/>
      <c r="AM219" s="140"/>
      <c r="AN219" s="140"/>
      <c r="AO219" s="140"/>
      <c r="AP219" s="140"/>
      <c r="AQ219" s="138"/>
      <c r="AR219" s="140"/>
      <c r="AS219" s="140"/>
      <c r="AT219" s="140"/>
      <c r="AU219" s="140"/>
      <c r="AV219" s="138"/>
      <c r="AW219" s="138"/>
      <c r="AX219" s="140"/>
      <c r="AY219" s="140"/>
      <c r="AZ219" s="140"/>
      <c r="BA219" s="140"/>
      <c r="BB219" s="140"/>
      <c r="BC219" s="140"/>
    </row>
    <row r="220" ht="15.75" customHeight="1">
      <c r="C220" s="137"/>
      <c r="D220" s="138"/>
      <c r="E220" s="138"/>
      <c r="F220" s="138"/>
      <c r="J220" s="138"/>
      <c r="K220" s="138"/>
      <c r="L220" s="138"/>
      <c r="M220" s="139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32"/>
      <c r="AE220" s="140"/>
      <c r="AF220" s="140"/>
      <c r="AG220" s="140"/>
      <c r="AH220" s="140"/>
      <c r="AI220" s="140"/>
      <c r="AJ220" s="141"/>
      <c r="AK220" s="140"/>
      <c r="AL220" s="140"/>
      <c r="AM220" s="140"/>
      <c r="AN220" s="140"/>
      <c r="AO220" s="140"/>
      <c r="AP220" s="140"/>
      <c r="AQ220" s="138"/>
      <c r="AR220" s="140"/>
      <c r="AS220" s="140"/>
      <c r="AT220" s="140"/>
      <c r="AU220" s="140"/>
      <c r="AV220" s="138"/>
      <c r="AW220" s="138"/>
      <c r="AX220" s="140"/>
      <c r="AY220" s="140"/>
      <c r="AZ220" s="140"/>
      <c r="BA220" s="140"/>
      <c r="BB220" s="140"/>
      <c r="BC220" s="140"/>
    </row>
    <row r="221" ht="15.75" customHeight="1">
      <c r="C221" s="137"/>
      <c r="D221" s="138"/>
      <c r="E221" s="138"/>
      <c r="F221" s="138"/>
      <c r="J221" s="138"/>
      <c r="K221" s="138"/>
      <c r="L221" s="138"/>
      <c r="M221" s="139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32"/>
      <c r="AE221" s="140"/>
      <c r="AF221" s="140"/>
      <c r="AG221" s="140"/>
      <c r="AH221" s="140"/>
      <c r="AI221" s="140"/>
      <c r="AJ221" s="141"/>
      <c r="AK221" s="140"/>
      <c r="AL221" s="140"/>
      <c r="AM221" s="140"/>
      <c r="AN221" s="140"/>
      <c r="AO221" s="140"/>
      <c r="AP221" s="140"/>
      <c r="AQ221" s="138"/>
      <c r="AR221" s="140"/>
      <c r="AS221" s="140"/>
      <c r="AT221" s="140"/>
      <c r="AU221" s="140"/>
      <c r="AV221" s="138"/>
      <c r="AW221" s="138"/>
      <c r="AX221" s="140"/>
      <c r="AY221" s="140"/>
      <c r="AZ221" s="140"/>
      <c r="BA221" s="140"/>
      <c r="BB221" s="140"/>
      <c r="BC221" s="140"/>
    </row>
    <row r="222" ht="15.75" customHeight="1">
      <c r="C222" s="137"/>
      <c r="D222" s="138"/>
      <c r="E222" s="138"/>
      <c r="F222" s="138"/>
      <c r="J222" s="138"/>
      <c r="K222" s="138"/>
      <c r="L222" s="138"/>
      <c r="M222" s="139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32"/>
      <c r="AE222" s="140"/>
      <c r="AF222" s="140"/>
      <c r="AG222" s="140"/>
      <c r="AH222" s="140"/>
      <c r="AI222" s="140"/>
      <c r="AJ222" s="141"/>
      <c r="AK222" s="140"/>
      <c r="AL222" s="140"/>
      <c r="AM222" s="140"/>
      <c r="AN222" s="140"/>
      <c r="AO222" s="140"/>
      <c r="AP222" s="140"/>
      <c r="AQ222" s="138"/>
      <c r="AR222" s="140"/>
      <c r="AS222" s="140"/>
      <c r="AT222" s="140"/>
      <c r="AU222" s="140"/>
      <c r="AV222" s="138"/>
      <c r="AW222" s="138"/>
      <c r="AX222" s="140"/>
      <c r="AY222" s="140"/>
      <c r="AZ222" s="140"/>
      <c r="BA222" s="140"/>
      <c r="BB222" s="140"/>
      <c r="BC222" s="140"/>
    </row>
    <row r="223" ht="15.75" customHeight="1">
      <c r="C223" s="137"/>
      <c r="D223" s="138"/>
      <c r="E223" s="138"/>
      <c r="F223" s="138"/>
      <c r="J223" s="138"/>
      <c r="K223" s="138"/>
      <c r="L223" s="138"/>
      <c r="M223" s="139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32"/>
      <c r="AE223" s="140"/>
      <c r="AF223" s="140"/>
      <c r="AG223" s="140"/>
      <c r="AH223" s="140"/>
      <c r="AI223" s="140"/>
      <c r="AJ223" s="141"/>
      <c r="AK223" s="140"/>
      <c r="AL223" s="140"/>
      <c r="AM223" s="140"/>
      <c r="AN223" s="140"/>
      <c r="AO223" s="140"/>
      <c r="AP223" s="140"/>
      <c r="AQ223" s="138"/>
      <c r="AR223" s="140"/>
      <c r="AS223" s="140"/>
      <c r="AT223" s="140"/>
      <c r="AU223" s="140"/>
      <c r="AV223" s="138"/>
      <c r="AW223" s="138"/>
      <c r="AX223" s="140"/>
      <c r="AY223" s="140"/>
      <c r="AZ223" s="140"/>
      <c r="BA223" s="140"/>
      <c r="BB223" s="140"/>
      <c r="BC223" s="140"/>
    </row>
    <row r="224" ht="15.75" customHeight="1">
      <c r="C224" s="137"/>
      <c r="D224" s="138"/>
      <c r="E224" s="138"/>
      <c r="F224" s="138"/>
      <c r="J224" s="138"/>
      <c r="K224" s="138"/>
      <c r="L224" s="138"/>
      <c r="M224" s="139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32"/>
      <c r="AE224" s="140"/>
      <c r="AF224" s="140"/>
      <c r="AG224" s="140"/>
      <c r="AH224" s="140"/>
      <c r="AI224" s="140"/>
      <c r="AJ224" s="141"/>
      <c r="AK224" s="140"/>
      <c r="AL224" s="140"/>
      <c r="AM224" s="140"/>
      <c r="AN224" s="140"/>
      <c r="AO224" s="140"/>
      <c r="AP224" s="140"/>
      <c r="AQ224" s="138"/>
      <c r="AR224" s="140"/>
      <c r="AS224" s="140"/>
      <c r="AT224" s="140"/>
      <c r="AU224" s="140"/>
      <c r="AV224" s="138"/>
      <c r="AW224" s="138"/>
      <c r="AX224" s="140"/>
      <c r="AY224" s="140"/>
      <c r="AZ224" s="140"/>
      <c r="BA224" s="140"/>
      <c r="BB224" s="140"/>
      <c r="BC224" s="140"/>
    </row>
    <row r="225" ht="15.75" customHeight="1">
      <c r="C225" s="137"/>
      <c r="D225" s="138"/>
      <c r="E225" s="138"/>
      <c r="F225" s="138"/>
      <c r="J225" s="138"/>
      <c r="K225" s="138"/>
      <c r="L225" s="138"/>
      <c r="M225" s="139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32"/>
      <c r="AE225" s="140"/>
      <c r="AF225" s="140"/>
      <c r="AG225" s="140"/>
      <c r="AH225" s="140"/>
      <c r="AI225" s="140"/>
      <c r="AJ225" s="141"/>
      <c r="AK225" s="140"/>
      <c r="AL225" s="140"/>
      <c r="AM225" s="140"/>
      <c r="AN225" s="140"/>
      <c r="AO225" s="140"/>
      <c r="AP225" s="140"/>
      <c r="AQ225" s="138"/>
      <c r="AR225" s="140"/>
      <c r="AS225" s="140"/>
      <c r="AT225" s="140"/>
      <c r="AU225" s="140"/>
      <c r="AV225" s="138"/>
      <c r="AW225" s="138"/>
      <c r="AX225" s="140"/>
      <c r="AY225" s="140"/>
      <c r="AZ225" s="140"/>
      <c r="BA225" s="140"/>
      <c r="BB225" s="140"/>
      <c r="BC225" s="140"/>
    </row>
    <row r="226" ht="15.75" customHeight="1">
      <c r="C226" s="137"/>
      <c r="D226" s="138"/>
      <c r="E226" s="138"/>
      <c r="F226" s="138"/>
      <c r="J226" s="138"/>
      <c r="K226" s="138"/>
      <c r="L226" s="138"/>
      <c r="M226" s="139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32"/>
      <c r="AE226" s="140"/>
      <c r="AF226" s="140"/>
      <c r="AG226" s="140"/>
      <c r="AH226" s="140"/>
      <c r="AI226" s="140"/>
      <c r="AJ226" s="141"/>
      <c r="AK226" s="140"/>
      <c r="AL226" s="140"/>
      <c r="AM226" s="140"/>
      <c r="AN226" s="140"/>
      <c r="AO226" s="140"/>
      <c r="AP226" s="140"/>
      <c r="AQ226" s="138"/>
      <c r="AR226" s="140"/>
      <c r="AS226" s="140"/>
      <c r="AT226" s="140"/>
      <c r="AU226" s="140"/>
      <c r="AV226" s="138"/>
      <c r="AW226" s="138"/>
      <c r="AX226" s="140"/>
      <c r="AY226" s="140"/>
      <c r="AZ226" s="140"/>
      <c r="BA226" s="140"/>
      <c r="BB226" s="140"/>
      <c r="BC226" s="140"/>
    </row>
    <row r="227" ht="15.75" customHeight="1">
      <c r="C227" s="137"/>
      <c r="D227" s="138"/>
      <c r="E227" s="138"/>
      <c r="F227" s="138"/>
      <c r="J227" s="138"/>
      <c r="K227" s="138"/>
      <c r="L227" s="138"/>
      <c r="M227" s="139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32"/>
      <c r="AE227" s="140"/>
      <c r="AF227" s="140"/>
      <c r="AG227" s="140"/>
      <c r="AH227" s="140"/>
      <c r="AI227" s="140"/>
      <c r="AJ227" s="141"/>
      <c r="AK227" s="140"/>
      <c r="AL227" s="140"/>
      <c r="AM227" s="140"/>
      <c r="AN227" s="140"/>
      <c r="AO227" s="140"/>
      <c r="AP227" s="140"/>
      <c r="AQ227" s="138"/>
      <c r="AR227" s="140"/>
      <c r="AS227" s="140"/>
      <c r="AT227" s="140"/>
      <c r="AU227" s="140"/>
      <c r="AV227" s="138"/>
      <c r="AW227" s="138"/>
      <c r="AX227" s="140"/>
      <c r="AY227" s="140"/>
      <c r="AZ227" s="140"/>
      <c r="BA227" s="140"/>
      <c r="BB227" s="140"/>
      <c r="BC227" s="140"/>
    </row>
    <row r="228" ht="15.75" customHeight="1">
      <c r="C228" s="137"/>
      <c r="D228" s="138"/>
      <c r="E228" s="138"/>
      <c r="F228" s="138"/>
      <c r="J228" s="138"/>
      <c r="K228" s="138"/>
      <c r="L228" s="138"/>
      <c r="M228" s="139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32"/>
      <c r="AE228" s="140"/>
      <c r="AF228" s="140"/>
      <c r="AG228" s="140"/>
      <c r="AH228" s="140"/>
      <c r="AI228" s="140"/>
      <c r="AJ228" s="141"/>
      <c r="AK228" s="140"/>
      <c r="AL228" s="140"/>
      <c r="AM228" s="140"/>
      <c r="AN228" s="140"/>
      <c r="AO228" s="140"/>
      <c r="AP228" s="140"/>
      <c r="AQ228" s="138"/>
      <c r="AR228" s="140"/>
      <c r="AS228" s="140"/>
      <c r="AT228" s="140"/>
      <c r="AU228" s="140"/>
      <c r="AV228" s="138"/>
      <c r="AW228" s="138"/>
      <c r="AX228" s="140"/>
      <c r="AY228" s="140"/>
      <c r="AZ228" s="140"/>
      <c r="BA228" s="140"/>
      <c r="BB228" s="140"/>
      <c r="BC228" s="140"/>
    </row>
    <row r="229" ht="15.75" customHeight="1">
      <c r="C229" s="137"/>
      <c r="D229" s="138"/>
      <c r="E229" s="138"/>
      <c r="F229" s="138"/>
      <c r="J229" s="138"/>
      <c r="K229" s="138"/>
      <c r="L229" s="138"/>
      <c r="M229" s="139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32"/>
      <c r="AE229" s="140"/>
      <c r="AF229" s="140"/>
      <c r="AG229" s="140"/>
      <c r="AH229" s="140"/>
      <c r="AI229" s="140"/>
      <c r="AJ229" s="141"/>
      <c r="AK229" s="140"/>
      <c r="AL229" s="140"/>
      <c r="AM229" s="140"/>
      <c r="AN229" s="140"/>
      <c r="AO229" s="140"/>
      <c r="AP229" s="140"/>
      <c r="AQ229" s="138"/>
      <c r="AR229" s="140"/>
      <c r="AS229" s="140"/>
      <c r="AT229" s="140"/>
      <c r="AU229" s="140"/>
      <c r="AV229" s="138"/>
      <c r="AW229" s="138"/>
      <c r="AX229" s="140"/>
      <c r="AY229" s="140"/>
      <c r="AZ229" s="140"/>
      <c r="BA229" s="140"/>
      <c r="BB229" s="140"/>
      <c r="BC229" s="140"/>
    </row>
    <row r="230" ht="15.75" customHeight="1">
      <c r="C230" s="137"/>
      <c r="D230" s="138"/>
      <c r="E230" s="138"/>
      <c r="F230" s="138"/>
      <c r="J230" s="138"/>
      <c r="K230" s="138"/>
      <c r="L230" s="138"/>
      <c r="M230" s="139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32"/>
      <c r="AE230" s="140"/>
      <c r="AF230" s="140"/>
      <c r="AG230" s="140"/>
      <c r="AH230" s="140"/>
      <c r="AI230" s="140"/>
      <c r="AJ230" s="141"/>
      <c r="AK230" s="140"/>
      <c r="AL230" s="140"/>
      <c r="AM230" s="140"/>
      <c r="AN230" s="140"/>
      <c r="AO230" s="140"/>
      <c r="AP230" s="140"/>
      <c r="AQ230" s="138"/>
      <c r="AR230" s="140"/>
      <c r="AS230" s="140"/>
      <c r="AT230" s="140"/>
      <c r="AU230" s="140"/>
      <c r="AV230" s="138"/>
      <c r="AW230" s="138"/>
      <c r="AX230" s="140"/>
      <c r="AY230" s="140"/>
      <c r="AZ230" s="140"/>
      <c r="BA230" s="140"/>
      <c r="BB230" s="140"/>
      <c r="BC230" s="140"/>
    </row>
    <row r="231" ht="15.75" customHeight="1">
      <c r="C231" s="137"/>
      <c r="D231" s="138"/>
      <c r="E231" s="138"/>
      <c r="F231" s="138"/>
      <c r="J231" s="138"/>
      <c r="K231" s="138"/>
      <c r="L231" s="138"/>
      <c r="M231" s="139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32"/>
      <c r="AE231" s="140"/>
      <c r="AF231" s="140"/>
      <c r="AG231" s="140"/>
      <c r="AH231" s="140"/>
      <c r="AI231" s="140"/>
      <c r="AJ231" s="141"/>
      <c r="AK231" s="140"/>
      <c r="AL231" s="140"/>
      <c r="AM231" s="140"/>
      <c r="AN231" s="140"/>
      <c r="AO231" s="140"/>
      <c r="AP231" s="140"/>
      <c r="AQ231" s="138"/>
      <c r="AR231" s="140"/>
      <c r="AS231" s="140"/>
      <c r="AT231" s="140"/>
      <c r="AU231" s="140"/>
      <c r="AV231" s="138"/>
      <c r="AW231" s="138"/>
      <c r="AX231" s="140"/>
      <c r="AY231" s="140"/>
      <c r="AZ231" s="140"/>
      <c r="BA231" s="140"/>
      <c r="BB231" s="140"/>
      <c r="BC231" s="140"/>
    </row>
    <row r="232" ht="15.75" customHeight="1">
      <c r="C232" s="137"/>
      <c r="D232" s="138"/>
      <c r="E232" s="138"/>
      <c r="F232" s="138"/>
      <c r="J232" s="138"/>
      <c r="K232" s="138"/>
      <c r="L232" s="138"/>
      <c r="M232" s="139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32"/>
      <c r="AE232" s="140"/>
      <c r="AF232" s="140"/>
      <c r="AG232" s="140"/>
      <c r="AH232" s="140"/>
      <c r="AI232" s="140"/>
      <c r="AJ232" s="141"/>
      <c r="AK232" s="140"/>
      <c r="AL232" s="140"/>
      <c r="AM232" s="140"/>
      <c r="AN232" s="140"/>
      <c r="AO232" s="140"/>
      <c r="AP232" s="140"/>
      <c r="AQ232" s="138"/>
      <c r="AR232" s="140"/>
      <c r="AS232" s="140"/>
      <c r="AT232" s="140"/>
      <c r="AU232" s="140"/>
      <c r="AV232" s="138"/>
      <c r="AW232" s="138"/>
      <c r="AX232" s="140"/>
      <c r="AY232" s="140"/>
      <c r="AZ232" s="140"/>
      <c r="BA232" s="140"/>
      <c r="BB232" s="140"/>
      <c r="BC232" s="140"/>
    </row>
    <row r="233" ht="15.75" customHeight="1">
      <c r="C233" s="137"/>
      <c r="D233" s="138"/>
      <c r="E233" s="138"/>
      <c r="F233" s="138"/>
      <c r="J233" s="138"/>
      <c r="K233" s="138"/>
      <c r="L233" s="138"/>
      <c r="M233" s="139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32"/>
      <c r="AE233" s="140"/>
      <c r="AF233" s="140"/>
      <c r="AG233" s="140"/>
      <c r="AH233" s="140"/>
      <c r="AI233" s="140"/>
      <c r="AJ233" s="141"/>
      <c r="AK233" s="140"/>
      <c r="AL233" s="140"/>
      <c r="AM233" s="140"/>
      <c r="AN233" s="140"/>
      <c r="AO233" s="140"/>
      <c r="AP233" s="140"/>
      <c r="AQ233" s="138"/>
      <c r="AR233" s="140"/>
      <c r="AS233" s="140"/>
      <c r="AT233" s="140"/>
      <c r="AU233" s="140"/>
      <c r="AV233" s="138"/>
      <c r="AW233" s="138"/>
      <c r="AX233" s="140"/>
      <c r="AY233" s="140"/>
      <c r="AZ233" s="140"/>
      <c r="BA233" s="140"/>
      <c r="BB233" s="140"/>
      <c r="BC233" s="140"/>
    </row>
    <row r="234" ht="15.75" customHeight="1">
      <c r="C234" s="137"/>
      <c r="D234" s="138"/>
      <c r="E234" s="138"/>
      <c r="F234" s="138"/>
      <c r="J234" s="138"/>
      <c r="K234" s="138"/>
      <c r="L234" s="138"/>
      <c r="M234" s="139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32"/>
      <c r="AE234" s="140"/>
      <c r="AF234" s="140"/>
      <c r="AG234" s="140"/>
      <c r="AH234" s="140"/>
      <c r="AI234" s="140"/>
      <c r="AJ234" s="141"/>
      <c r="AK234" s="140"/>
      <c r="AL234" s="140"/>
      <c r="AM234" s="140"/>
      <c r="AN234" s="140"/>
      <c r="AO234" s="140"/>
      <c r="AP234" s="140"/>
      <c r="AQ234" s="138"/>
      <c r="AR234" s="140"/>
      <c r="AS234" s="140"/>
      <c r="AT234" s="140"/>
      <c r="AU234" s="140"/>
      <c r="AV234" s="138"/>
      <c r="AW234" s="138"/>
      <c r="AX234" s="140"/>
      <c r="AY234" s="140"/>
      <c r="AZ234" s="140"/>
      <c r="BA234" s="140"/>
      <c r="BB234" s="140"/>
      <c r="BC234" s="140"/>
    </row>
    <row r="235" ht="15.75" customHeight="1">
      <c r="C235" s="137"/>
      <c r="D235" s="138"/>
      <c r="E235" s="138"/>
      <c r="F235" s="138"/>
      <c r="J235" s="138"/>
      <c r="K235" s="138"/>
      <c r="L235" s="138"/>
      <c r="M235" s="139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32"/>
      <c r="AE235" s="140"/>
      <c r="AF235" s="140"/>
      <c r="AG235" s="140"/>
      <c r="AH235" s="140"/>
      <c r="AI235" s="140"/>
      <c r="AJ235" s="141"/>
      <c r="AK235" s="140"/>
      <c r="AL235" s="140"/>
      <c r="AM235" s="140"/>
      <c r="AN235" s="140"/>
      <c r="AO235" s="140"/>
      <c r="AP235" s="140"/>
      <c r="AQ235" s="138"/>
      <c r="AR235" s="140"/>
      <c r="AS235" s="140"/>
      <c r="AT235" s="140"/>
      <c r="AU235" s="140"/>
      <c r="AV235" s="138"/>
      <c r="AW235" s="138"/>
      <c r="AX235" s="140"/>
      <c r="AY235" s="140"/>
      <c r="AZ235" s="140"/>
      <c r="BA235" s="140"/>
      <c r="BB235" s="140"/>
      <c r="BC235" s="140"/>
    </row>
    <row r="236" ht="15.75" customHeight="1">
      <c r="C236" s="137"/>
      <c r="D236" s="138"/>
      <c r="E236" s="138"/>
      <c r="F236" s="138"/>
      <c r="J236" s="138"/>
      <c r="K236" s="138"/>
      <c r="L236" s="138"/>
      <c r="M236" s="139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32"/>
      <c r="AE236" s="140"/>
      <c r="AF236" s="140"/>
      <c r="AG236" s="140"/>
      <c r="AH236" s="140"/>
      <c r="AI236" s="140"/>
      <c r="AJ236" s="141"/>
      <c r="AK236" s="140"/>
      <c r="AL236" s="140"/>
      <c r="AM236" s="140"/>
      <c r="AN236" s="140"/>
      <c r="AO236" s="140"/>
      <c r="AP236" s="140"/>
      <c r="AQ236" s="138"/>
      <c r="AR236" s="140"/>
      <c r="AS236" s="140"/>
      <c r="AT236" s="140"/>
      <c r="AU236" s="140"/>
      <c r="AV236" s="138"/>
      <c r="AW236" s="138"/>
      <c r="AX236" s="140"/>
      <c r="AY236" s="140"/>
      <c r="AZ236" s="140"/>
      <c r="BA236" s="140"/>
      <c r="BB236" s="140"/>
      <c r="BC236" s="140"/>
    </row>
    <row r="237" ht="15.75" customHeight="1">
      <c r="C237" s="137"/>
      <c r="D237" s="138"/>
      <c r="E237" s="138"/>
      <c r="F237" s="138"/>
      <c r="J237" s="138"/>
      <c r="K237" s="138"/>
      <c r="L237" s="138"/>
      <c r="M237" s="139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32"/>
      <c r="AE237" s="140"/>
      <c r="AF237" s="140"/>
      <c r="AG237" s="140"/>
      <c r="AH237" s="140"/>
      <c r="AI237" s="140"/>
      <c r="AJ237" s="141"/>
      <c r="AK237" s="140"/>
      <c r="AL237" s="140"/>
      <c r="AM237" s="140"/>
      <c r="AN237" s="140"/>
      <c r="AO237" s="140"/>
      <c r="AP237" s="140"/>
      <c r="AQ237" s="138"/>
      <c r="AR237" s="140"/>
      <c r="AS237" s="140"/>
      <c r="AT237" s="140"/>
      <c r="AU237" s="140"/>
      <c r="AV237" s="138"/>
      <c r="AW237" s="138"/>
      <c r="AX237" s="140"/>
      <c r="AY237" s="140"/>
      <c r="AZ237" s="140"/>
      <c r="BA237" s="140"/>
      <c r="BB237" s="140"/>
      <c r="BC237" s="140"/>
    </row>
    <row r="238" ht="15.75" customHeight="1">
      <c r="C238" s="137"/>
      <c r="D238" s="138"/>
      <c r="E238" s="138"/>
      <c r="F238" s="138"/>
      <c r="J238" s="138"/>
      <c r="K238" s="138"/>
      <c r="L238" s="138"/>
      <c r="M238" s="139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32"/>
      <c r="AE238" s="140"/>
      <c r="AF238" s="140"/>
      <c r="AG238" s="140"/>
      <c r="AH238" s="140"/>
      <c r="AI238" s="140"/>
      <c r="AJ238" s="141"/>
      <c r="AK238" s="140"/>
      <c r="AL238" s="140"/>
      <c r="AM238" s="140"/>
      <c r="AN238" s="140"/>
      <c r="AO238" s="140"/>
      <c r="AP238" s="140"/>
      <c r="AQ238" s="138"/>
      <c r="AR238" s="140"/>
      <c r="AS238" s="140"/>
      <c r="AT238" s="140"/>
      <c r="AU238" s="140"/>
      <c r="AV238" s="138"/>
      <c r="AW238" s="138"/>
      <c r="AX238" s="140"/>
      <c r="AY238" s="140"/>
      <c r="AZ238" s="140"/>
      <c r="BA238" s="140"/>
      <c r="BB238" s="140"/>
      <c r="BC238" s="140"/>
    </row>
    <row r="239" ht="15.75" customHeight="1">
      <c r="C239" s="137"/>
      <c r="D239" s="138"/>
      <c r="E239" s="138"/>
      <c r="F239" s="138"/>
      <c r="J239" s="138"/>
      <c r="K239" s="138"/>
      <c r="L239" s="138"/>
      <c r="M239" s="139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32"/>
      <c r="AE239" s="140"/>
      <c r="AF239" s="140"/>
      <c r="AG239" s="140"/>
      <c r="AH239" s="140"/>
      <c r="AI239" s="140"/>
      <c r="AJ239" s="141"/>
      <c r="AK239" s="140"/>
      <c r="AL239" s="140"/>
      <c r="AM239" s="140"/>
      <c r="AN239" s="140"/>
      <c r="AO239" s="140"/>
      <c r="AP239" s="140"/>
      <c r="AQ239" s="138"/>
      <c r="AR239" s="140"/>
      <c r="AS239" s="140"/>
      <c r="AT239" s="140"/>
      <c r="AU239" s="140"/>
      <c r="AV239" s="138"/>
      <c r="AW239" s="138"/>
      <c r="AX239" s="140"/>
      <c r="AY239" s="140"/>
      <c r="AZ239" s="140"/>
      <c r="BA239" s="140"/>
      <c r="BB239" s="140"/>
      <c r="BC239" s="140"/>
    </row>
    <row r="240" ht="15.75" customHeight="1">
      <c r="C240" s="137"/>
      <c r="D240" s="138"/>
      <c r="E240" s="138"/>
      <c r="F240" s="138"/>
      <c r="J240" s="138"/>
      <c r="K240" s="138"/>
      <c r="L240" s="138"/>
      <c r="M240" s="139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32"/>
      <c r="AE240" s="140"/>
      <c r="AF240" s="140"/>
      <c r="AG240" s="140"/>
      <c r="AH240" s="140"/>
      <c r="AI240" s="140"/>
      <c r="AJ240" s="141"/>
      <c r="AK240" s="140"/>
      <c r="AL240" s="140"/>
      <c r="AM240" s="140"/>
      <c r="AN240" s="140"/>
      <c r="AO240" s="140"/>
      <c r="AP240" s="140"/>
      <c r="AQ240" s="138"/>
      <c r="AR240" s="140"/>
      <c r="AS240" s="140"/>
      <c r="AT240" s="140"/>
      <c r="AU240" s="140"/>
      <c r="AV240" s="138"/>
      <c r="AW240" s="138"/>
      <c r="AX240" s="140"/>
      <c r="AY240" s="140"/>
      <c r="AZ240" s="140"/>
      <c r="BA240" s="140"/>
      <c r="BB240" s="140"/>
      <c r="BC240" s="140"/>
    </row>
    <row r="241" ht="15.75" customHeight="1">
      <c r="C241" s="137"/>
      <c r="D241" s="138"/>
      <c r="E241" s="138"/>
      <c r="F241" s="138"/>
      <c r="J241" s="138"/>
      <c r="K241" s="138"/>
      <c r="L241" s="138"/>
      <c r="M241" s="139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32"/>
      <c r="AE241" s="140"/>
      <c r="AF241" s="140"/>
      <c r="AG241" s="140"/>
      <c r="AH241" s="140"/>
      <c r="AI241" s="140"/>
      <c r="AJ241" s="141"/>
      <c r="AK241" s="140"/>
      <c r="AL241" s="140"/>
      <c r="AM241" s="140"/>
      <c r="AN241" s="140"/>
      <c r="AO241" s="140"/>
      <c r="AP241" s="140"/>
      <c r="AQ241" s="138"/>
      <c r="AR241" s="140"/>
      <c r="AS241" s="140"/>
      <c r="AT241" s="140"/>
      <c r="AU241" s="140"/>
      <c r="AV241" s="138"/>
      <c r="AW241" s="138"/>
      <c r="AX241" s="140"/>
      <c r="AY241" s="140"/>
      <c r="AZ241" s="140"/>
      <c r="BA241" s="140"/>
      <c r="BB241" s="140"/>
      <c r="BC241" s="140"/>
    </row>
    <row r="242" ht="15.75" customHeight="1">
      <c r="C242" s="137"/>
      <c r="D242" s="138"/>
      <c r="E242" s="138"/>
      <c r="F242" s="138"/>
      <c r="J242" s="138"/>
      <c r="K242" s="138"/>
      <c r="L242" s="138"/>
      <c r="M242" s="139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32"/>
      <c r="AE242" s="140"/>
      <c r="AF242" s="140"/>
      <c r="AG242" s="140"/>
      <c r="AH242" s="140"/>
      <c r="AI242" s="140"/>
      <c r="AJ242" s="141"/>
      <c r="AK242" s="140"/>
      <c r="AL242" s="140"/>
      <c r="AM242" s="140"/>
      <c r="AN242" s="140"/>
      <c r="AO242" s="140"/>
      <c r="AP242" s="140"/>
      <c r="AQ242" s="138"/>
      <c r="AR242" s="140"/>
      <c r="AS242" s="140"/>
      <c r="AT242" s="140"/>
      <c r="AU242" s="140"/>
      <c r="AV242" s="138"/>
      <c r="AW242" s="138"/>
      <c r="AX242" s="140"/>
      <c r="AY242" s="140"/>
      <c r="AZ242" s="140"/>
      <c r="BA242" s="140"/>
      <c r="BB242" s="140"/>
      <c r="BC242" s="140"/>
    </row>
    <row r="243" ht="15.75" customHeight="1">
      <c r="C243" s="137"/>
      <c r="D243" s="138"/>
      <c r="E243" s="138"/>
      <c r="F243" s="138"/>
      <c r="J243" s="138"/>
      <c r="K243" s="138"/>
      <c r="L243" s="138"/>
      <c r="M243" s="139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32"/>
      <c r="AE243" s="140"/>
      <c r="AF243" s="140"/>
      <c r="AG243" s="140"/>
      <c r="AH243" s="140"/>
      <c r="AI243" s="140"/>
      <c r="AJ243" s="141"/>
      <c r="AK243" s="140"/>
      <c r="AL243" s="140"/>
      <c r="AM243" s="140"/>
      <c r="AN243" s="140"/>
      <c r="AO243" s="140"/>
      <c r="AP243" s="140"/>
      <c r="AQ243" s="138"/>
      <c r="AR243" s="140"/>
      <c r="AS243" s="140"/>
      <c r="AT243" s="140"/>
      <c r="AU243" s="140"/>
      <c r="AV243" s="138"/>
      <c r="AW243" s="138"/>
      <c r="AX243" s="140"/>
      <c r="AY243" s="140"/>
      <c r="AZ243" s="140"/>
      <c r="BA243" s="140"/>
      <c r="BB243" s="140"/>
      <c r="BC243" s="140"/>
    </row>
    <row r="244" ht="15.75" customHeight="1">
      <c r="C244" s="137"/>
      <c r="D244" s="138"/>
      <c r="E244" s="138"/>
      <c r="F244" s="138"/>
      <c r="J244" s="138"/>
      <c r="K244" s="138"/>
      <c r="L244" s="138"/>
      <c r="M244" s="139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32"/>
      <c r="AE244" s="140"/>
      <c r="AF244" s="140"/>
      <c r="AG244" s="140"/>
      <c r="AH244" s="140"/>
      <c r="AI244" s="140"/>
      <c r="AJ244" s="141"/>
      <c r="AK244" s="140"/>
      <c r="AL244" s="140"/>
      <c r="AM244" s="140"/>
      <c r="AN244" s="140"/>
      <c r="AO244" s="140"/>
      <c r="AP244" s="140"/>
      <c r="AQ244" s="138"/>
      <c r="AR244" s="140"/>
      <c r="AS244" s="140"/>
      <c r="AT244" s="140"/>
      <c r="AU244" s="140"/>
      <c r="AV244" s="138"/>
      <c r="AW244" s="138"/>
      <c r="AX244" s="140"/>
      <c r="AY244" s="140"/>
      <c r="AZ244" s="140"/>
      <c r="BA244" s="140"/>
      <c r="BB244" s="140"/>
      <c r="BC244" s="140"/>
    </row>
    <row r="245" ht="15.75" customHeight="1">
      <c r="C245" s="137"/>
      <c r="D245" s="138"/>
      <c r="E245" s="138"/>
      <c r="F245" s="138"/>
      <c r="J245" s="138"/>
      <c r="K245" s="138"/>
      <c r="L245" s="138"/>
      <c r="M245" s="139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32"/>
      <c r="AE245" s="140"/>
      <c r="AF245" s="140"/>
      <c r="AG245" s="140"/>
      <c r="AH245" s="140"/>
      <c r="AI245" s="140"/>
      <c r="AJ245" s="141"/>
      <c r="AK245" s="140"/>
      <c r="AL245" s="140"/>
      <c r="AM245" s="140"/>
      <c r="AN245" s="140"/>
      <c r="AO245" s="140"/>
      <c r="AP245" s="140"/>
      <c r="AQ245" s="138"/>
      <c r="AR245" s="140"/>
      <c r="AS245" s="140"/>
      <c r="AT245" s="140"/>
      <c r="AU245" s="140"/>
      <c r="AV245" s="138"/>
      <c r="AW245" s="138"/>
      <c r="AX245" s="140"/>
      <c r="AY245" s="140"/>
      <c r="AZ245" s="140"/>
      <c r="BA245" s="140"/>
      <c r="BB245" s="140"/>
      <c r="BC245" s="140"/>
    </row>
    <row r="246" ht="15.75" customHeight="1">
      <c r="C246" s="137"/>
      <c r="D246" s="138"/>
      <c r="E246" s="138"/>
      <c r="F246" s="138"/>
      <c r="J246" s="138"/>
      <c r="K246" s="138"/>
      <c r="L246" s="138"/>
      <c r="M246" s="139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32"/>
      <c r="AE246" s="140"/>
      <c r="AF246" s="140"/>
      <c r="AG246" s="140"/>
      <c r="AH246" s="140"/>
      <c r="AI246" s="140"/>
      <c r="AJ246" s="141"/>
      <c r="AK246" s="140"/>
      <c r="AL246" s="140"/>
      <c r="AM246" s="140"/>
      <c r="AN246" s="140"/>
      <c r="AO246" s="140"/>
      <c r="AP246" s="140"/>
      <c r="AQ246" s="138"/>
      <c r="AR246" s="140"/>
      <c r="AS246" s="140"/>
      <c r="AT246" s="140"/>
      <c r="AU246" s="140"/>
      <c r="AV246" s="138"/>
      <c r="AW246" s="138"/>
      <c r="AX246" s="140"/>
      <c r="AY246" s="140"/>
      <c r="AZ246" s="140"/>
      <c r="BA246" s="140"/>
      <c r="BB246" s="140"/>
      <c r="BC246" s="140"/>
    </row>
    <row r="247" ht="15.75" customHeight="1">
      <c r="C247" s="137"/>
      <c r="D247" s="138"/>
      <c r="E247" s="138"/>
      <c r="F247" s="138"/>
      <c r="J247" s="138"/>
      <c r="K247" s="138"/>
      <c r="L247" s="138"/>
      <c r="M247" s="139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32"/>
      <c r="AE247" s="140"/>
      <c r="AF247" s="140"/>
      <c r="AG247" s="140"/>
      <c r="AH247" s="140"/>
      <c r="AI247" s="140"/>
      <c r="AJ247" s="141"/>
      <c r="AK247" s="140"/>
      <c r="AL247" s="140"/>
      <c r="AM247" s="140"/>
      <c r="AN247" s="140"/>
      <c r="AO247" s="140"/>
      <c r="AP247" s="140"/>
      <c r="AQ247" s="138"/>
      <c r="AR247" s="140"/>
      <c r="AS247" s="140"/>
      <c r="AT247" s="140"/>
      <c r="AU247" s="140"/>
      <c r="AV247" s="138"/>
      <c r="AW247" s="138"/>
      <c r="AX247" s="140"/>
      <c r="AY247" s="140"/>
      <c r="AZ247" s="140"/>
      <c r="BA247" s="140"/>
      <c r="BB247" s="140"/>
      <c r="BC247" s="140"/>
    </row>
    <row r="248" ht="15.75" customHeight="1">
      <c r="C248" s="137"/>
      <c r="D248" s="138"/>
      <c r="E248" s="138"/>
      <c r="F248" s="138"/>
      <c r="J248" s="138"/>
      <c r="K248" s="138"/>
      <c r="L248" s="138"/>
      <c r="M248" s="139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32"/>
      <c r="AE248" s="140"/>
      <c r="AF248" s="140"/>
      <c r="AG248" s="140"/>
      <c r="AH248" s="140"/>
      <c r="AI248" s="140"/>
      <c r="AJ248" s="141"/>
      <c r="AK248" s="140"/>
      <c r="AL248" s="140"/>
      <c r="AM248" s="140"/>
      <c r="AN248" s="140"/>
      <c r="AO248" s="140"/>
      <c r="AP248" s="140"/>
      <c r="AQ248" s="138"/>
      <c r="AR248" s="140"/>
      <c r="AS248" s="140"/>
      <c r="AT248" s="140"/>
      <c r="AU248" s="140"/>
      <c r="AV248" s="138"/>
      <c r="AW248" s="138"/>
      <c r="AX248" s="140"/>
      <c r="AY248" s="140"/>
      <c r="AZ248" s="140"/>
      <c r="BA248" s="140"/>
      <c r="BB248" s="140"/>
      <c r="BC248" s="140"/>
    </row>
    <row r="249" ht="15.75" customHeight="1">
      <c r="C249" s="137"/>
      <c r="D249" s="138"/>
      <c r="E249" s="138"/>
      <c r="F249" s="138"/>
      <c r="J249" s="138"/>
      <c r="K249" s="138"/>
      <c r="L249" s="138"/>
      <c r="M249" s="139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32"/>
      <c r="AE249" s="140"/>
      <c r="AF249" s="140"/>
      <c r="AG249" s="140"/>
      <c r="AH249" s="140"/>
      <c r="AI249" s="140"/>
      <c r="AJ249" s="141"/>
      <c r="AK249" s="140"/>
      <c r="AL249" s="140"/>
      <c r="AM249" s="140"/>
      <c r="AN249" s="140"/>
      <c r="AO249" s="140"/>
      <c r="AP249" s="140"/>
      <c r="AQ249" s="138"/>
      <c r="AR249" s="140"/>
      <c r="AS249" s="140"/>
      <c r="AT249" s="140"/>
      <c r="AU249" s="140"/>
      <c r="AV249" s="138"/>
      <c r="AW249" s="138"/>
      <c r="AX249" s="140"/>
      <c r="AY249" s="140"/>
      <c r="AZ249" s="140"/>
      <c r="BA249" s="140"/>
      <c r="BB249" s="140"/>
      <c r="BC249" s="140"/>
    </row>
    <row r="250" ht="15.75" customHeight="1">
      <c r="C250" s="137"/>
      <c r="D250" s="138"/>
      <c r="E250" s="138"/>
      <c r="F250" s="138"/>
      <c r="J250" s="138"/>
      <c r="K250" s="138"/>
      <c r="L250" s="138"/>
      <c r="M250" s="139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32"/>
      <c r="AE250" s="140"/>
      <c r="AF250" s="140"/>
      <c r="AG250" s="140"/>
      <c r="AH250" s="140"/>
      <c r="AI250" s="140"/>
      <c r="AJ250" s="141"/>
      <c r="AK250" s="140"/>
      <c r="AL250" s="140"/>
      <c r="AM250" s="140"/>
      <c r="AN250" s="140"/>
      <c r="AO250" s="140"/>
      <c r="AP250" s="140"/>
      <c r="AQ250" s="138"/>
      <c r="AR250" s="140"/>
      <c r="AS250" s="140"/>
      <c r="AT250" s="140"/>
      <c r="AU250" s="140"/>
      <c r="AV250" s="138"/>
      <c r="AW250" s="138"/>
      <c r="AX250" s="140"/>
      <c r="AY250" s="140"/>
      <c r="AZ250" s="140"/>
      <c r="BA250" s="140"/>
      <c r="BB250" s="140"/>
      <c r="BC250" s="140"/>
    </row>
    <row r="251" ht="15.75" customHeight="1">
      <c r="C251" s="137"/>
      <c r="D251" s="138"/>
      <c r="E251" s="138"/>
      <c r="F251" s="138"/>
      <c r="J251" s="138"/>
      <c r="K251" s="138"/>
      <c r="L251" s="138"/>
      <c r="M251" s="139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32"/>
      <c r="AE251" s="140"/>
      <c r="AF251" s="140"/>
      <c r="AG251" s="140"/>
      <c r="AH251" s="140"/>
      <c r="AI251" s="140"/>
      <c r="AJ251" s="141"/>
      <c r="AK251" s="140"/>
      <c r="AL251" s="140"/>
      <c r="AM251" s="140"/>
      <c r="AN251" s="140"/>
      <c r="AO251" s="140"/>
      <c r="AP251" s="140"/>
      <c r="AQ251" s="138"/>
      <c r="AR251" s="140"/>
      <c r="AS251" s="140"/>
      <c r="AT251" s="140"/>
      <c r="AU251" s="140"/>
      <c r="AV251" s="138"/>
      <c r="AW251" s="138"/>
      <c r="AX251" s="140"/>
      <c r="AY251" s="140"/>
      <c r="AZ251" s="140"/>
      <c r="BA251" s="140"/>
      <c r="BB251" s="140"/>
      <c r="BC251" s="140"/>
    </row>
    <row r="252" ht="15.75" customHeight="1">
      <c r="C252" s="137"/>
      <c r="D252" s="138"/>
      <c r="E252" s="138"/>
      <c r="F252" s="138"/>
      <c r="J252" s="138"/>
      <c r="K252" s="138"/>
      <c r="L252" s="138"/>
      <c r="M252" s="139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32"/>
      <c r="AE252" s="140"/>
      <c r="AF252" s="140"/>
      <c r="AG252" s="140"/>
      <c r="AH252" s="140"/>
      <c r="AI252" s="140"/>
      <c r="AJ252" s="141"/>
      <c r="AK252" s="140"/>
      <c r="AL252" s="140"/>
      <c r="AM252" s="140"/>
      <c r="AN252" s="140"/>
      <c r="AO252" s="140"/>
      <c r="AP252" s="140"/>
      <c r="AQ252" s="138"/>
      <c r="AR252" s="140"/>
      <c r="AS252" s="140"/>
      <c r="AT252" s="140"/>
      <c r="AU252" s="140"/>
      <c r="AV252" s="138"/>
      <c r="AW252" s="138"/>
      <c r="AX252" s="140"/>
      <c r="AY252" s="140"/>
      <c r="AZ252" s="140"/>
      <c r="BA252" s="140"/>
      <c r="BB252" s="140"/>
      <c r="BC252" s="140"/>
    </row>
    <row r="253" ht="15.75" customHeight="1">
      <c r="C253" s="137"/>
      <c r="D253" s="138"/>
      <c r="E253" s="138"/>
      <c r="F253" s="138"/>
      <c r="J253" s="138"/>
      <c r="K253" s="138"/>
      <c r="L253" s="138"/>
      <c r="M253" s="139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32"/>
      <c r="AE253" s="140"/>
      <c r="AF253" s="140"/>
      <c r="AG253" s="140"/>
      <c r="AH253" s="140"/>
      <c r="AI253" s="140"/>
      <c r="AJ253" s="141"/>
      <c r="AK253" s="140"/>
      <c r="AL253" s="140"/>
      <c r="AM253" s="140"/>
      <c r="AN253" s="140"/>
      <c r="AO253" s="140"/>
      <c r="AP253" s="140"/>
      <c r="AQ253" s="138"/>
      <c r="AR253" s="140"/>
      <c r="AS253" s="140"/>
      <c r="AT253" s="140"/>
      <c r="AU253" s="140"/>
      <c r="AV253" s="138"/>
      <c r="AW253" s="138"/>
      <c r="AX253" s="140"/>
      <c r="AY253" s="140"/>
      <c r="AZ253" s="140"/>
      <c r="BA253" s="140"/>
      <c r="BB253" s="140"/>
      <c r="BC253" s="140"/>
    </row>
    <row r="254" ht="15.75" customHeight="1">
      <c r="C254" s="137"/>
      <c r="D254" s="138"/>
      <c r="E254" s="138"/>
      <c r="F254" s="138"/>
      <c r="J254" s="138"/>
      <c r="K254" s="138"/>
      <c r="L254" s="138"/>
      <c r="M254" s="139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32"/>
      <c r="AE254" s="140"/>
      <c r="AF254" s="140"/>
      <c r="AG254" s="140"/>
      <c r="AH254" s="140"/>
      <c r="AI254" s="140"/>
      <c r="AJ254" s="141"/>
      <c r="AK254" s="140"/>
      <c r="AL254" s="140"/>
      <c r="AM254" s="140"/>
      <c r="AN254" s="140"/>
      <c r="AO254" s="140"/>
      <c r="AP254" s="140"/>
      <c r="AQ254" s="138"/>
      <c r="AR254" s="140"/>
      <c r="AS254" s="140"/>
      <c r="AT254" s="140"/>
      <c r="AU254" s="140"/>
      <c r="AV254" s="138"/>
      <c r="AW254" s="138"/>
      <c r="AX254" s="140"/>
      <c r="AY254" s="140"/>
      <c r="AZ254" s="140"/>
      <c r="BA254" s="140"/>
      <c r="BB254" s="140"/>
      <c r="BC254" s="140"/>
    </row>
    <row r="255" ht="15.75" customHeight="1">
      <c r="C255" s="137"/>
      <c r="D255" s="138"/>
      <c r="E255" s="138"/>
      <c r="F255" s="138"/>
      <c r="J255" s="138"/>
      <c r="K255" s="138"/>
      <c r="L255" s="138"/>
      <c r="M255" s="139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32"/>
      <c r="AE255" s="140"/>
      <c r="AF255" s="140"/>
      <c r="AG255" s="140"/>
      <c r="AH255" s="140"/>
      <c r="AI255" s="140"/>
      <c r="AJ255" s="141"/>
      <c r="AK255" s="140"/>
      <c r="AL255" s="140"/>
      <c r="AM255" s="140"/>
      <c r="AN255" s="140"/>
      <c r="AO255" s="140"/>
      <c r="AP255" s="140"/>
      <c r="AQ255" s="138"/>
      <c r="AR255" s="140"/>
      <c r="AS255" s="140"/>
      <c r="AT255" s="140"/>
      <c r="AU255" s="140"/>
      <c r="AV255" s="138"/>
      <c r="AW255" s="138"/>
      <c r="AX255" s="140"/>
      <c r="AY255" s="140"/>
      <c r="AZ255" s="140"/>
      <c r="BA255" s="140"/>
      <c r="BB255" s="140"/>
      <c r="BC255" s="140"/>
    </row>
    <row r="256" ht="15.75" customHeight="1">
      <c r="C256" s="137"/>
      <c r="D256" s="138"/>
      <c r="E256" s="138"/>
      <c r="F256" s="138"/>
      <c r="J256" s="138"/>
      <c r="K256" s="138"/>
      <c r="L256" s="138"/>
      <c r="M256" s="139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32"/>
      <c r="AE256" s="140"/>
      <c r="AF256" s="140"/>
      <c r="AG256" s="140"/>
      <c r="AH256" s="140"/>
      <c r="AI256" s="140"/>
      <c r="AJ256" s="141"/>
      <c r="AK256" s="140"/>
      <c r="AL256" s="140"/>
      <c r="AM256" s="140"/>
      <c r="AN256" s="140"/>
      <c r="AO256" s="140"/>
      <c r="AP256" s="140"/>
      <c r="AQ256" s="138"/>
      <c r="AR256" s="140"/>
      <c r="AS256" s="140"/>
      <c r="AT256" s="140"/>
      <c r="AU256" s="140"/>
      <c r="AV256" s="138"/>
      <c r="AW256" s="138"/>
      <c r="AX256" s="140"/>
      <c r="AY256" s="140"/>
      <c r="AZ256" s="140"/>
      <c r="BA256" s="140"/>
      <c r="BB256" s="140"/>
      <c r="BC256" s="140"/>
    </row>
    <row r="257" ht="15.75" customHeight="1">
      <c r="C257" s="137"/>
      <c r="D257" s="138"/>
      <c r="E257" s="138"/>
      <c r="F257" s="138"/>
      <c r="J257" s="138"/>
      <c r="K257" s="138"/>
      <c r="L257" s="138"/>
      <c r="M257" s="139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32"/>
      <c r="AE257" s="140"/>
      <c r="AF257" s="140"/>
      <c r="AG257" s="140"/>
      <c r="AH257" s="140"/>
      <c r="AI257" s="140"/>
      <c r="AJ257" s="141"/>
      <c r="AK257" s="140"/>
      <c r="AL257" s="140"/>
      <c r="AM257" s="140"/>
      <c r="AN257" s="140"/>
      <c r="AO257" s="140"/>
      <c r="AP257" s="140"/>
      <c r="AQ257" s="138"/>
      <c r="AR257" s="140"/>
      <c r="AS257" s="140"/>
      <c r="AT257" s="140"/>
      <c r="AU257" s="140"/>
      <c r="AV257" s="138"/>
      <c r="AW257" s="138"/>
      <c r="AX257" s="140"/>
      <c r="AY257" s="140"/>
      <c r="AZ257" s="140"/>
      <c r="BA257" s="140"/>
      <c r="BB257" s="140"/>
      <c r="BC257" s="140"/>
    </row>
    <row r="258" ht="15.75" customHeight="1">
      <c r="C258" s="137"/>
      <c r="D258" s="138"/>
      <c r="E258" s="138"/>
      <c r="F258" s="138"/>
      <c r="J258" s="138"/>
      <c r="K258" s="138"/>
      <c r="L258" s="138"/>
      <c r="M258" s="139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32"/>
      <c r="AE258" s="140"/>
      <c r="AF258" s="140"/>
      <c r="AG258" s="140"/>
      <c r="AH258" s="140"/>
      <c r="AI258" s="140"/>
      <c r="AJ258" s="141"/>
      <c r="AK258" s="140"/>
      <c r="AL258" s="140"/>
      <c r="AM258" s="140"/>
      <c r="AN258" s="140"/>
      <c r="AO258" s="140"/>
      <c r="AP258" s="140"/>
      <c r="AQ258" s="138"/>
      <c r="AR258" s="140"/>
      <c r="AS258" s="140"/>
      <c r="AT258" s="140"/>
      <c r="AU258" s="140"/>
      <c r="AV258" s="138"/>
      <c r="AW258" s="138"/>
      <c r="AX258" s="140"/>
      <c r="AY258" s="140"/>
      <c r="AZ258" s="140"/>
      <c r="BA258" s="140"/>
      <c r="BB258" s="140"/>
      <c r="BC258" s="140"/>
    </row>
    <row r="259" ht="15.75" customHeight="1">
      <c r="C259" s="137"/>
      <c r="D259" s="138"/>
      <c r="E259" s="138"/>
      <c r="F259" s="138"/>
      <c r="J259" s="138"/>
      <c r="K259" s="138"/>
      <c r="L259" s="138"/>
      <c r="M259" s="139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32"/>
      <c r="AE259" s="140"/>
      <c r="AF259" s="140"/>
      <c r="AG259" s="140"/>
      <c r="AH259" s="140"/>
      <c r="AI259" s="140"/>
      <c r="AJ259" s="141"/>
      <c r="AK259" s="140"/>
      <c r="AL259" s="140"/>
      <c r="AM259" s="140"/>
      <c r="AN259" s="140"/>
      <c r="AO259" s="140"/>
      <c r="AP259" s="140"/>
      <c r="AQ259" s="138"/>
      <c r="AR259" s="140"/>
      <c r="AS259" s="140"/>
      <c r="AT259" s="140"/>
      <c r="AU259" s="140"/>
      <c r="AV259" s="138"/>
      <c r="AW259" s="138"/>
      <c r="AX259" s="140"/>
      <c r="AY259" s="140"/>
      <c r="AZ259" s="140"/>
      <c r="BA259" s="140"/>
      <c r="BB259" s="140"/>
      <c r="BC259" s="140"/>
    </row>
    <row r="260" ht="15.75" customHeight="1">
      <c r="C260" s="137"/>
      <c r="D260" s="138"/>
      <c r="E260" s="138"/>
      <c r="F260" s="138"/>
      <c r="J260" s="138"/>
      <c r="K260" s="138"/>
      <c r="L260" s="138"/>
      <c r="M260" s="139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32"/>
      <c r="AE260" s="140"/>
      <c r="AF260" s="140"/>
      <c r="AG260" s="140"/>
      <c r="AH260" s="140"/>
      <c r="AI260" s="140"/>
      <c r="AJ260" s="141"/>
      <c r="AK260" s="140"/>
      <c r="AL260" s="140"/>
      <c r="AM260" s="140"/>
      <c r="AN260" s="140"/>
      <c r="AO260" s="140"/>
      <c r="AP260" s="140"/>
      <c r="AQ260" s="138"/>
      <c r="AR260" s="140"/>
      <c r="AS260" s="140"/>
      <c r="AT260" s="140"/>
      <c r="AU260" s="140"/>
      <c r="AV260" s="138"/>
      <c r="AW260" s="138"/>
      <c r="AX260" s="140"/>
      <c r="AY260" s="140"/>
      <c r="AZ260" s="140"/>
      <c r="BA260" s="140"/>
      <c r="BB260" s="140"/>
      <c r="BC260" s="140"/>
    </row>
    <row r="261" ht="15.75" customHeight="1">
      <c r="C261" s="137"/>
      <c r="D261" s="138"/>
      <c r="E261" s="138"/>
      <c r="F261" s="138"/>
      <c r="J261" s="138"/>
      <c r="K261" s="138"/>
      <c r="L261" s="138"/>
      <c r="M261" s="139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32"/>
      <c r="AE261" s="140"/>
      <c r="AF261" s="140"/>
      <c r="AG261" s="140"/>
      <c r="AH261" s="140"/>
      <c r="AI261" s="140"/>
      <c r="AJ261" s="141"/>
      <c r="AK261" s="140"/>
      <c r="AL261" s="140"/>
      <c r="AM261" s="140"/>
      <c r="AN261" s="140"/>
      <c r="AO261" s="140"/>
      <c r="AP261" s="140"/>
      <c r="AQ261" s="138"/>
      <c r="AR261" s="140"/>
      <c r="AS261" s="140"/>
      <c r="AT261" s="140"/>
      <c r="AU261" s="140"/>
      <c r="AV261" s="138"/>
      <c r="AW261" s="138"/>
      <c r="AX261" s="140"/>
      <c r="AY261" s="140"/>
      <c r="AZ261" s="140"/>
      <c r="BA261" s="140"/>
      <c r="BB261" s="140"/>
      <c r="BC261" s="140"/>
    </row>
    <row r="262" ht="15.75" customHeight="1">
      <c r="C262" s="137"/>
      <c r="D262" s="138"/>
      <c r="E262" s="138"/>
      <c r="F262" s="138"/>
      <c r="J262" s="138"/>
      <c r="K262" s="138"/>
      <c r="L262" s="138"/>
      <c r="M262" s="139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32"/>
      <c r="AE262" s="140"/>
      <c r="AF262" s="140"/>
      <c r="AG262" s="140"/>
      <c r="AH262" s="140"/>
      <c r="AI262" s="140"/>
      <c r="AJ262" s="141"/>
      <c r="AK262" s="140"/>
      <c r="AL262" s="140"/>
      <c r="AM262" s="140"/>
      <c r="AN262" s="140"/>
      <c r="AO262" s="140"/>
      <c r="AP262" s="140"/>
      <c r="AQ262" s="138"/>
      <c r="AR262" s="140"/>
      <c r="AS262" s="140"/>
      <c r="AT262" s="140"/>
      <c r="AU262" s="140"/>
      <c r="AV262" s="138"/>
      <c r="AW262" s="138"/>
      <c r="AX262" s="140"/>
      <c r="AY262" s="140"/>
      <c r="AZ262" s="140"/>
      <c r="BA262" s="140"/>
      <c r="BB262" s="140"/>
      <c r="BC262" s="140"/>
    </row>
    <row r="263" ht="15.75" customHeight="1">
      <c r="C263" s="137"/>
      <c r="D263" s="138"/>
      <c r="E263" s="138"/>
      <c r="F263" s="138"/>
      <c r="J263" s="138"/>
      <c r="K263" s="138"/>
      <c r="L263" s="138"/>
      <c r="M263" s="139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32"/>
      <c r="AE263" s="140"/>
      <c r="AF263" s="140"/>
      <c r="AG263" s="140"/>
      <c r="AH263" s="140"/>
      <c r="AI263" s="140"/>
      <c r="AJ263" s="141"/>
      <c r="AK263" s="140"/>
      <c r="AL263" s="140"/>
      <c r="AM263" s="140"/>
      <c r="AN263" s="140"/>
      <c r="AO263" s="140"/>
      <c r="AP263" s="140"/>
      <c r="AQ263" s="138"/>
      <c r="AR263" s="140"/>
      <c r="AS263" s="140"/>
      <c r="AT263" s="140"/>
      <c r="AU263" s="140"/>
      <c r="AV263" s="138"/>
      <c r="AW263" s="138"/>
      <c r="AX263" s="140"/>
      <c r="AY263" s="140"/>
      <c r="AZ263" s="140"/>
      <c r="BA263" s="140"/>
      <c r="BB263" s="140"/>
      <c r="BC263" s="140"/>
    </row>
    <row r="264" ht="15.75" customHeight="1">
      <c r="C264" s="137"/>
      <c r="D264" s="138"/>
      <c r="E264" s="138"/>
      <c r="F264" s="138"/>
      <c r="J264" s="138"/>
      <c r="K264" s="138"/>
      <c r="L264" s="138"/>
      <c r="M264" s="139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32"/>
      <c r="AE264" s="140"/>
      <c r="AF264" s="140"/>
      <c r="AG264" s="140"/>
      <c r="AH264" s="140"/>
      <c r="AI264" s="140"/>
      <c r="AJ264" s="141"/>
      <c r="AK264" s="140"/>
      <c r="AL264" s="140"/>
      <c r="AM264" s="140"/>
      <c r="AN264" s="140"/>
      <c r="AO264" s="140"/>
      <c r="AP264" s="140"/>
      <c r="AQ264" s="138"/>
      <c r="AR264" s="140"/>
      <c r="AS264" s="140"/>
      <c r="AT264" s="140"/>
      <c r="AU264" s="140"/>
      <c r="AV264" s="138"/>
      <c r="AW264" s="138"/>
      <c r="AX264" s="140"/>
      <c r="AY264" s="140"/>
      <c r="AZ264" s="140"/>
      <c r="BA264" s="140"/>
      <c r="BB264" s="140"/>
      <c r="BC264" s="140"/>
    </row>
    <row r="265" ht="15.75" customHeight="1">
      <c r="C265" s="137"/>
      <c r="D265" s="138"/>
      <c r="E265" s="138"/>
      <c r="F265" s="138"/>
      <c r="J265" s="138"/>
      <c r="K265" s="138"/>
      <c r="L265" s="138"/>
      <c r="M265" s="139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32"/>
      <c r="AE265" s="140"/>
      <c r="AF265" s="140"/>
      <c r="AG265" s="140"/>
      <c r="AH265" s="140"/>
      <c r="AI265" s="140"/>
      <c r="AJ265" s="141"/>
      <c r="AK265" s="140"/>
      <c r="AL265" s="140"/>
      <c r="AM265" s="140"/>
      <c r="AN265" s="140"/>
      <c r="AO265" s="140"/>
      <c r="AP265" s="140"/>
      <c r="AQ265" s="138"/>
      <c r="AR265" s="140"/>
      <c r="AS265" s="140"/>
      <c r="AT265" s="140"/>
      <c r="AU265" s="140"/>
      <c r="AV265" s="138"/>
      <c r="AW265" s="138"/>
      <c r="AX265" s="140"/>
      <c r="AY265" s="140"/>
      <c r="AZ265" s="140"/>
      <c r="BA265" s="140"/>
      <c r="BB265" s="140"/>
      <c r="BC265" s="140"/>
    </row>
    <row r="266" ht="15.75" customHeight="1">
      <c r="C266" s="137"/>
      <c r="D266" s="138"/>
      <c r="E266" s="138"/>
      <c r="F266" s="138"/>
      <c r="J266" s="138"/>
      <c r="K266" s="138"/>
      <c r="L266" s="138"/>
      <c r="M266" s="139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32"/>
      <c r="AE266" s="140"/>
      <c r="AF266" s="140"/>
      <c r="AG266" s="140"/>
      <c r="AH266" s="140"/>
      <c r="AI266" s="140"/>
      <c r="AJ266" s="141"/>
      <c r="AK266" s="140"/>
      <c r="AL266" s="140"/>
      <c r="AM266" s="140"/>
      <c r="AN266" s="140"/>
      <c r="AO266" s="140"/>
      <c r="AP266" s="140"/>
      <c r="AQ266" s="138"/>
      <c r="AR266" s="140"/>
      <c r="AS266" s="140"/>
      <c r="AT266" s="140"/>
      <c r="AU266" s="140"/>
      <c r="AV266" s="138"/>
      <c r="AW266" s="138"/>
      <c r="AX266" s="140"/>
      <c r="AY266" s="140"/>
      <c r="AZ266" s="140"/>
      <c r="BA266" s="140"/>
      <c r="BB266" s="140"/>
      <c r="BC266" s="140"/>
    </row>
    <row r="267" ht="15.75" customHeight="1">
      <c r="C267" s="137"/>
      <c r="D267" s="138"/>
      <c r="E267" s="138"/>
      <c r="F267" s="138"/>
      <c r="J267" s="138"/>
      <c r="K267" s="138"/>
      <c r="L267" s="138"/>
      <c r="M267" s="139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32"/>
      <c r="AE267" s="140"/>
      <c r="AF267" s="140"/>
      <c r="AG267" s="140"/>
      <c r="AH267" s="140"/>
      <c r="AI267" s="140"/>
      <c r="AJ267" s="141"/>
      <c r="AK267" s="140"/>
      <c r="AL267" s="140"/>
      <c r="AM267" s="140"/>
      <c r="AN267" s="140"/>
      <c r="AO267" s="140"/>
      <c r="AP267" s="140"/>
      <c r="AQ267" s="138"/>
      <c r="AR267" s="140"/>
      <c r="AS267" s="140"/>
      <c r="AT267" s="140"/>
      <c r="AU267" s="140"/>
      <c r="AV267" s="138"/>
      <c r="AW267" s="138"/>
      <c r="AX267" s="140"/>
      <c r="AY267" s="140"/>
      <c r="AZ267" s="140"/>
      <c r="BA267" s="140"/>
      <c r="BB267" s="140"/>
      <c r="BC267" s="140"/>
    </row>
    <row r="268" ht="15.75" customHeight="1">
      <c r="C268" s="137"/>
      <c r="D268" s="138"/>
      <c r="E268" s="138"/>
      <c r="F268" s="138"/>
      <c r="J268" s="138"/>
      <c r="K268" s="138"/>
      <c r="L268" s="138"/>
      <c r="M268" s="139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32"/>
      <c r="AE268" s="140"/>
      <c r="AF268" s="140"/>
      <c r="AG268" s="140"/>
      <c r="AH268" s="140"/>
      <c r="AI268" s="140"/>
      <c r="AJ268" s="141"/>
      <c r="AK268" s="140"/>
      <c r="AL268" s="140"/>
      <c r="AM268" s="140"/>
      <c r="AN268" s="140"/>
      <c r="AO268" s="140"/>
      <c r="AP268" s="140"/>
      <c r="AQ268" s="138"/>
      <c r="AR268" s="140"/>
      <c r="AS268" s="140"/>
      <c r="AT268" s="140"/>
      <c r="AU268" s="140"/>
      <c r="AV268" s="138"/>
      <c r="AW268" s="138"/>
      <c r="AX268" s="140"/>
      <c r="AY268" s="140"/>
      <c r="AZ268" s="140"/>
      <c r="BA268" s="140"/>
      <c r="BB268" s="140"/>
      <c r="BC268" s="140"/>
    </row>
    <row r="269" ht="15.75" customHeight="1">
      <c r="C269" s="137"/>
      <c r="D269" s="138"/>
      <c r="E269" s="138"/>
      <c r="F269" s="138"/>
      <c r="J269" s="138"/>
      <c r="K269" s="138"/>
      <c r="L269" s="138"/>
      <c r="M269" s="139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32"/>
      <c r="AE269" s="140"/>
      <c r="AF269" s="140"/>
      <c r="AG269" s="140"/>
      <c r="AH269" s="140"/>
      <c r="AI269" s="140"/>
      <c r="AJ269" s="141"/>
      <c r="AK269" s="140"/>
      <c r="AL269" s="140"/>
      <c r="AM269" s="140"/>
      <c r="AN269" s="140"/>
      <c r="AO269" s="140"/>
      <c r="AP269" s="140"/>
      <c r="AQ269" s="138"/>
      <c r="AR269" s="140"/>
      <c r="AS269" s="140"/>
      <c r="AT269" s="140"/>
      <c r="AU269" s="140"/>
      <c r="AV269" s="138"/>
      <c r="AW269" s="138"/>
      <c r="AX269" s="140"/>
      <c r="AY269" s="140"/>
      <c r="AZ269" s="140"/>
      <c r="BA269" s="140"/>
      <c r="BB269" s="140"/>
      <c r="BC269" s="140"/>
    </row>
    <row r="270" ht="15.75" customHeight="1">
      <c r="C270" s="137"/>
      <c r="D270" s="138"/>
      <c r="E270" s="138"/>
      <c r="F270" s="138"/>
      <c r="J270" s="138"/>
      <c r="K270" s="138"/>
      <c r="L270" s="138"/>
      <c r="M270" s="139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32"/>
      <c r="AE270" s="140"/>
      <c r="AF270" s="140"/>
      <c r="AG270" s="140"/>
      <c r="AH270" s="140"/>
      <c r="AI270" s="140"/>
      <c r="AJ270" s="141"/>
      <c r="AK270" s="140"/>
      <c r="AL270" s="140"/>
      <c r="AM270" s="140"/>
      <c r="AN270" s="140"/>
      <c r="AO270" s="140"/>
      <c r="AP270" s="140"/>
      <c r="AQ270" s="138"/>
      <c r="AR270" s="140"/>
      <c r="AS270" s="140"/>
      <c r="AT270" s="140"/>
      <c r="AU270" s="140"/>
      <c r="AV270" s="138"/>
      <c r="AW270" s="138"/>
      <c r="AX270" s="140"/>
      <c r="AY270" s="140"/>
      <c r="AZ270" s="140"/>
      <c r="BA270" s="140"/>
      <c r="BB270" s="140"/>
      <c r="BC270" s="140"/>
    </row>
    <row r="271" ht="15.75" customHeight="1">
      <c r="C271" s="137"/>
      <c r="D271" s="138"/>
      <c r="E271" s="138"/>
      <c r="F271" s="138"/>
      <c r="J271" s="138"/>
      <c r="K271" s="138"/>
      <c r="L271" s="138"/>
      <c r="M271" s="139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32"/>
      <c r="AE271" s="140"/>
      <c r="AF271" s="140"/>
      <c r="AG271" s="140"/>
      <c r="AH271" s="140"/>
      <c r="AI271" s="140"/>
      <c r="AJ271" s="141"/>
      <c r="AK271" s="140"/>
      <c r="AL271" s="140"/>
      <c r="AM271" s="140"/>
      <c r="AN271" s="140"/>
      <c r="AO271" s="140"/>
      <c r="AP271" s="140"/>
      <c r="AQ271" s="138"/>
      <c r="AR271" s="140"/>
      <c r="AS271" s="140"/>
      <c r="AT271" s="140"/>
      <c r="AU271" s="140"/>
      <c r="AV271" s="138"/>
      <c r="AW271" s="138"/>
      <c r="AX271" s="140"/>
      <c r="AY271" s="140"/>
      <c r="AZ271" s="140"/>
      <c r="BA271" s="140"/>
      <c r="BB271" s="140"/>
      <c r="BC271" s="140"/>
    </row>
    <row r="272" ht="15.75" customHeight="1">
      <c r="C272" s="137"/>
      <c r="D272" s="138"/>
      <c r="E272" s="138"/>
      <c r="F272" s="138"/>
      <c r="J272" s="138"/>
      <c r="K272" s="138"/>
      <c r="L272" s="138"/>
      <c r="M272" s="139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32"/>
      <c r="AE272" s="140"/>
      <c r="AF272" s="140"/>
      <c r="AG272" s="140"/>
      <c r="AH272" s="140"/>
      <c r="AI272" s="140"/>
      <c r="AJ272" s="141"/>
      <c r="AK272" s="140"/>
      <c r="AL272" s="140"/>
      <c r="AM272" s="140"/>
      <c r="AN272" s="140"/>
      <c r="AO272" s="140"/>
      <c r="AP272" s="140"/>
      <c r="AQ272" s="138"/>
      <c r="AR272" s="140"/>
      <c r="AS272" s="140"/>
      <c r="AT272" s="140"/>
      <c r="AU272" s="140"/>
      <c r="AV272" s="138"/>
      <c r="AW272" s="138"/>
      <c r="AX272" s="140"/>
      <c r="AY272" s="140"/>
      <c r="AZ272" s="140"/>
      <c r="BA272" s="140"/>
      <c r="BB272" s="140"/>
      <c r="BC272" s="140"/>
    </row>
    <row r="273" ht="15.75" customHeight="1">
      <c r="C273" s="137"/>
      <c r="D273" s="138"/>
      <c r="E273" s="138"/>
      <c r="F273" s="138"/>
      <c r="J273" s="138"/>
      <c r="K273" s="138"/>
      <c r="L273" s="138"/>
      <c r="M273" s="139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32"/>
      <c r="AE273" s="140"/>
      <c r="AF273" s="140"/>
      <c r="AG273" s="140"/>
      <c r="AH273" s="140"/>
      <c r="AI273" s="140"/>
      <c r="AJ273" s="141"/>
      <c r="AK273" s="140"/>
      <c r="AL273" s="140"/>
      <c r="AM273" s="140"/>
      <c r="AN273" s="140"/>
      <c r="AO273" s="140"/>
      <c r="AP273" s="140"/>
      <c r="AQ273" s="138"/>
      <c r="AR273" s="140"/>
      <c r="AS273" s="140"/>
      <c r="AT273" s="140"/>
      <c r="AU273" s="140"/>
      <c r="AV273" s="138"/>
      <c r="AW273" s="138"/>
      <c r="AX273" s="140"/>
      <c r="AY273" s="140"/>
      <c r="AZ273" s="140"/>
      <c r="BA273" s="140"/>
      <c r="BB273" s="140"/>
      <c r="BC273" s="140"/>
    </row>
    <row r="274" ht="15.75" customHeight="1">
      <c r="C274" s="137"/>
      <c r="D274" s="138"/>
      <c r="E274" s="138"/>
      <c r="F274" s="138"/>
      <c r="J274" s="138"/>
      <c r="K274" s="138"/>
      <c r="L274" s="138"/>
      <c r="M274" s="139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32"/>
      <c r="AE274" s="140"/>
      <c r="AF274" s="140"/>
      <c r="AG274" s="140"/>
      <c r="AH274" s="140"/>
      <c r="AI274" s="140"/>
      <c r="AJ274" s="141"/>
      <c r="AK274" s="140"/>
      <c r="AL274" s="140"/>
      <c r="AM274" s="140"/>
      <c r="AN274" s="140"/>
      <c r="AO274" s="140"/>
      <c r="AP274" s="140"/>
      <c r="AQ274" s="138"/>
      <c r="AR274" s="140"/>
      <c r="AS274" s="140"/>
      <c r="AT274" s="140"/>
      <c r="AU274" s="140"/>
      <c r="AV274" s="138"/>
      <c r="AW274" s="138"/>
      <c r="AX274" s="140"/>
      <c r="AY274" s="140"/>
      <c r="AZ274" s="140"/>
      <c r="BA274" s="140"/>
      <c r="BB274" s="140"/>
      <c r="BC274" s="140"/>
    </row>
    <row r="275" ht="15.75" customHeight="1">
      <c r="C275" s="137"/>
      <c r="D275" s="138"/>
      <c r="E275" s="138"/>
      <c r="F275" s="138"/>
      <c r="J275" s="138"/>
      <c r="K275" s="138"/>
      <c r="L275" s="138"/>
      <c r="M275" s="139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32"/>
      <c r="AE275" s="140"/>
      <c r="AF275" s="140"/>
      <c r="AG275" s="140"/>
      <c r="AH275" s="140"/>
      <c r="AI275" s="140"/>
      <c r="AJ275" s="141"/>
      <c r="AK275" s="140"/>
      <c r="AL275" s="140"/>
      <c r="AM275" s="140"/>
      <c r="AN275" s="140"/>
      <c r="AO275" s="140"/>
      <c r="AP275" s="140"/>
      <c r="AQ275" s="138"/>
      <c r="AR275" s="140"/>
      <c r="AS275" s="140"/>
      <c r="AT275" s="140"/>
      <c r="AU275" s="140"/>
      <c r="AV275" s="138"/>
      <c r="AW275" s="138"/>
      <c r="AX275" s="140"/>
      <c r="AY275" s="140"/>
      <c r="AZ275" s="140"/>
      <c r="BA275" s="140"/>
      <c r="BB275" s="140"/>
      <c r="BC275" s="140"/>
    </row>
    <row r="276" ht="15.75" customHeight="1">
      <c r="C276" s="137"/>
      <c r="D276" s="138"/>
      <c r="E276" s="138"/>
      <c r="F276" s="138"/>
      <c r="J276" s="138"/>
      <c r="K276" s="138"/>
      <c r="L276" s="138"/>
      <c r="M276" s="139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32"/>
      <c r="AE276" s="140"/>
      <c r="AF276" s="140"/>
      <c r="AG276" s="140"/>
      <c r="AH276" s="140"/>
      <c r="AI276" s="140"/>
      <c r="AJ276" s="141"/>
      <c r="AK276" s="140"/>
      <c r="AL276" s="140"/>
      <c r="AM276" s="140"/>
      <c r="AN276" s="140"/>
      <c r="AO276" s="140"/>
      <c r="AP276" s="140"/>
      <c r="AQ276" s="138"/>
      <c r="AR276" s="140"/>
      <c r="AS276" s="140"/>
      <c r="AT276" s="140"/>
      <c r="AU276" s="140"/>
      <c r="AV276" s="138"/>
      <c r="AW276" s="138"/>
      <c r="AX276" s="140"/>
      <c r="AY276" s="140"/>
      <c r="AZ276" s="140"/>
      <c r="BA276" s="140"/>
      <c r="BB276" s="140"/>
      <c r="BC276" s="140"/>
    </row>
    <row r="277" ht="15.75" customHeight="1">
      <c r="C277" s="137"/>
      <c r="D277" s="138"/>
      <c r="E277" s="138"/>
      <c r="F277" s="138"/>
      <c r="J277" s="138"/>
      <c r="K277" s="138"/>
      <c r="L277" s="138"/>
      <c r="M277" s="139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32"/>
      <c r="AE277" s="140"/>
      <c r="AF277" s="140"/>
      <c r="AG277" s="140"/>
      <c r="AH277" s="140"/>
      <c r="AI277" s="140"/>
      <c r="AJ277" s="141"/>
      <c r="AK277" s="140"/>
      <c r="AL277" s="140"/>
      <c r="AM277" s="140"/>
      <c r="AN277" s="140"/>
      <c r="AO277" s="140"/>
      <c r="AP277" s="140"/>
      <c r="AQ277" s="138"/>
      <c r="AR277" s="140"/>
      <c r="AS277" s="140"/>
      <c r="AT277" s="140"/>
      <c r="AU277" s="140"/>
      <c r="AV277" s="138"/>
      <c r="AW277" s="138"/>
      <c r="AX277" s="140"/>
      <c r="AY277" s="140"/>
      <c r="AZ277" s="140"/>
      <c r="BA277" s="140"/>
      <c r="BB277" s="140"/>
      <c r="BC277" s="140"/>
    </row>
    <row r="278" ht="15.75" customHeight="1">
      <c r="C278" s="137"/>
      <c r="D278" s="138"/>
      <c r="E278" s="138"/>
      <c r="F278" s="138"/>
      <c r="J278" s="138"/>
      <c r="K278" s="138"/>
      <c r="L278" s="138"/>
      <c r="M278" s="139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32"/>
      <c r="AE278" s="140"/>
      <c r="AF278" s="140"/>
      <c r="AG278" s="140"/>
      <c r="AH278" s="140"/>
      <c r="AI278" s="140"/>
      <c r="AJ278" s="141"/>
      <c r="AK278" s="140"/>
      <c r="AL278" s="140"/>
      <c r="AM278" s="140"/>
      <c r="AN278" s="140"/>
      <c r="AO278" s="140"/>
      <c r="AP278" s="140"/>
      <c r="AQ278" s="138"/>
      <c r="AR278" s="140"/>
      <c r="AS278" s="140"/>
      <c r="AT278" s="140"/>
      <c r="AU278" s="140"/>
      <c r="AV278" s="138"/>
      <c r="AW278" s="138"/>
      <c r="AX278" s="140"/>
      <c r="AY278" s="140"/>
      <c r="AZ278" s="140"/>
      <c r="BA278" s="140"/>
      <c r="BB278" s="140"/>
      <c r="BC278" s="140"/>
    </row>
    <row r="279" ht="15.75" customHeight="1">
      <c r="C279" s="137"/>
      <c r="D279" s="138"/>
      <c r="E279" s="138"/>
      <c r="F279" s="138"/>
      <c r="J279" s="138"/>
      <c r="K279" s="138"/>
      <c r="L279" s="138"/>
      <c r="M279" s="139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32"/>
      <c r="AE279" s="140"/>
      <c r="AF279" s="140"/>
      <c r="AG279" s="140"/>
      <c r="AH279" s="140"/>
      <c r="AI279" s="140"/>
      <c r="AJ279" s="141"/>
      <c r="AK279" s="140"/>
      <c r="AL279" s="140"/>
      <c r="AM279" s="140"/>
      <c r="AN279" s="140"/>
      <c r="AO279" s="140"/>
      <c r="AP279" s="140"/>
      <c r="AQ279" s="138"/>
      <c r="AR279" s="140"/>
      <c r="AS279" s="140"/>
      <c r="AT279" s="140"/>
      <c r="AU279" s="140"/>
      <c r="AV279" s="138"/>
      <c r="AW279" s="138"/>
      <c r="AX279" s="140"/>
      <c r="AY279" s="140"/>
      <c r="AZ279" s="140"/>
      <c r="BA279" s="140"/>
      <c r="BB279" s="140"/>
      <c r="BC279" s="140"/>
    </row>
    <row r="280" ht="15.75" customHeight="1">
      <c r="C280" s="137"/>
      <c r="D280" s="138"/>
      <c r="E280" s="138"/>
      <c r="F280" s="138"/>
      <c r="J280" s="138"/>
      <c r="K280" s="138"/>
      <c r="L280" s="138"/>
      <c r="M280" s="139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32"/>
      <c r="AE280" s="140"/>
      <c r="AF280" s="140"/>
      <c r="AG280" s="140"/>
      <c r="AH280" s="140"/>
      <c r="AI280" s="140"/>
      <c r="AJ280" s="141"/>
      <c r="AK280" s="140"/>
      <c r="AL280" s="140"/>
      <c r="AM280" s="140"/>
      <c r="AN280" s="140"/>
      <c r="AO280" s="140"/>
      <c r="AP280" s="140"/>
      <c r="AQ280" s="138"/>
      <c r="AR280" s="140"/>
      <c r="AS280" s="140"/>
      <c r="AT280" s="140"/>
      <c r="AU280" s="140"/>
      <c r="AV280" s="138"/>
      <c r="AW280" s="138"/>
      <c r="AX280" s="140"/>
      <c r="AY280" s="140"/>
      <c r="AZ280" s="140"/>
      <c r="BA280" s="140"/>
      <c r="BB280" s="140"/>
      <c r="BC280" s="140"/>
    </row>
    <row r="281" ht="15.75" customHeight="1">
      <c r="C281" s="137"/>
      <c r="D281" s="138"/>
      <c r="E281" s="138"/>
      <c r="F281" s="138"/>
      <c r="J281" s="138"/>
      <c r="K281" s="138"/>
      <c r="L281" s="138"/>
      <c r="M281" s="139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32"/>
      <c r="AE281" s="140"/>
      <c r="AF281" s="140"/>
      <c r="AG281" s="140"/>
      <c r="AH281" s="140"/>
      <c r="AI281" s="140"/>
      <c r="AJ281" s="141"/>
      <c r="AK281" s="140"/>
      <c r="AL281" s="140"/>
      <c r="AM281" s="140"/>
      <c r="AN281" s="140"/>
      <c r="AO281" s="140"/>
      <c r="AP281" s="140"/>
      <c r="AQ281" s="138"/>
      <c r="AR281" s="140"/>
      <c r="AS281" s="140"/>
      <c r="AT281" s="140"/>
      <c r="AU281" s="140"/>
      <c r="AV281" s="138"/>
      <c r="AW281" s="138"/>
      <c r="AX281" s="140"/>
      <c r="AY281" s="140"/>
      <c r="AZ281" s="140"/>
      <c r="BA281" s="140"/>
      <c r="BB281" s="140"/>
      <c r="BC281" s="140"/>
    </row>
    <row r="282" ht="15.75" customHeight="1">
      <c r="C282" s="137"/>
      <c r="D282" s="138"/>
      <c r="E282" s="138"/>
      <c r="F282" s="138"/>
      <c r="J282" s="138"/>
      <c r="K282" s="138"/>
      <c r="L282" s="138"/>
      <c r="M282" s="139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32"/>
      <c r="AE282" s="140"/>
      <c r="AF282" s="140"/>
      <c r="AG282" s="140"/>
      <c r="AH282" s="140"/>
      <c r="AI282" s="140"/>
      <c r="AJ282" s="141"/>
      <c r="AK282" s="140"/>
      <c r="AL282" s="140"/>
      <c r="AM282" s="140"/>
      <c r="AN282" s="140"/>
      <c r="AO282" s="140"/>
      <c r="AP282" s="140"/>
      <c r="AQ282" s="138"/>
      <c r="AR282" s="140"/>
      <c r="AS282" s="140"/>
      <c r="AT282" s="140"/>
      <c r="AU282" s="140"/>
      <c r="AV282" s="138"/>
      <c r="AW282" s="138"/>
      <c r="AX282" s="140"/>
      <c r="AY282" s="140"/>
      <c r="AZ282" s="140"/>
      <c r="BA282" s="140"/>
      <c r="BB282" s="140"/>
      <c r="BC282" s="140"/>
    </row>
    <row r="283" ht="15.75" customHeight="1">
      <c r="C283" s="137"/>
      <c r="D283" s="138"/>
      <c r="E283" s="138"/>
      <c r="F283" s="138"/>
      <c r="J283" s="138"/>
      <c r="K283" s="138"/>
      <c r="L283" s="138"/>
      <c r="M283" s="139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32"/>
      <c r="AE283" s="140"/>
      <c r="AF283" s="140"/>
      <c r="AG283" s="140"/>
      <c r="AH283" s="140"/>
      <c r="AI283" s="140"/>
      <c r="AJ283" s="141"/>
      <c r="AK283" s="140"/>
      <c r="AL283" s="140"/>
      <c r="AM283" s="140"/>
      <c r="AN283" s="140"/>
      <c r="AO283" s="140"/>
      <c r="AP283" s="140"/>
      <c r="AQ283" s="138"/>
      <c r="AR283" s="140"/>
      <c r="AS283" s="140"/>
      <c r="AT283" s="140"/>
      <c r="AU283" s="140"/>
      <c r="AV283" s="138"/>
      <c r="AW283" s="138"/>
      <c r="AX283" s="140"/>
      <c r="AY283" s="140"/>
      <c r="AZ283" s="140"/>
      <c r="BA283" s="140"/>
      <c r="BB283" s="140"/>
      <c r="BC283" s="140"/>
    </row>
    <row r="284" ht="15.75" customHeight="1">
      <c r="C284" s="137"/>
      <c r="D284" s="138"/>
      <c r="E284" s="138"/>
      <c r="F284" s="138"/>
      <c r="J284" s="138"/>
      <c r="K284" s="138"/>
      <c r="L284" s="138"/>
      <c r="M284" s="139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32"/>
      <c r="AE284" s="140"/>
      <c r="AF284" s="140"/>
      <c r="AG284" s="140"/>
      <c r="AH284" s="140"/>
      <c r="AI284" s="140"/>
      <c r="AJ284" s="141"/>
      <c r="AK284" s="140"/>
      <c r="AL284" s="140"/>
      <c r="AM284" s="140"/>
      <c r="AN284" s="140"/>
      <c r="AO284" s="140"/>
      <c r="AP284" s="140"/>
      <c r="AQ284" s="138"/>
      <c r="AR284" s="140"/>
      <c r="AS284" s="140"/>
      <c r="AT284" s="140"/>
      <c r="AU284" s="140"/>
      <c r="AV284" s="138"/>
      <c r="AW284" s="138"/>
      <c r="AX284" s="140"/>
      <c r="AY284" s="140"/>
      <c r="AZ284" s="140"/>
      <c r="BA284" s="140"/>
      <c r="BB284" s="140"/>
      <c r="BC284" s="140"/>
    </row>
    <row r="285" ht="15.75" customHeight="1">
      <c r="C285" s="137"/>
      <c r="D285" s="138"/>
      <c r="E285" s="138"/>
      <c r="F285" s="138"/>
      <c r="J285" s="138"/>
      <c r="K285" s="138"/>
      <c r="L285" s="138"/>
      <c r="M285" s="139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32"/>
      <c r="AE285" s="140"/>
      <c r="AF285" s="140"/>
      <c r="AG285" s="140"/>
      <c r="AH285" s="140"/>
      <c r="AI285" s="140"/>
      <c r="AJ285" s="141"/>
      <c r="AK285" s="140"/>
      <c r="AL285" s="140"/>
      <c r="AM285" s="140"/>
      <c r="AN285" s="140"/>
      <c r="AO285" s="140"/>
      <c r="AP285" s="140"/>
      <c r="AQ285" s="138"/>
      <c r="AR285" s="140"/>
      <c r="AS285" s="140"/>
      <c r="AT285" s="140"/>
      <c r="AU285" s="140"/>
      <c r="AV285" s="138"/>
      <c r="AW285" s="138"/>
      <c r="AX285" s="140"/>
      <c r="AY285" s="140"/>
      <c r="AZ285" s="140"/>
      <c r="BA285" s="140"/>
      <c r="BB285" s="140"/>
      <c r="BC285" s="140"/>
    </row>
    <row r="286" ht="15.75" customHeight="1">
      <c r="C286" s="137"/>
      <c r="D286" s="138"/>
      <c r="E286" s="138"/>
      <c r="F286" s="138"/>
      <c r="J286" s="138"/>
      <c r="K286" s="138"/>
      <c r="L286" s="138"/>
      <c r="M286" s="139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32"/>
      <c r="AE286" s="140"/>
      <c r="AF286" s="140"/>
      <c r="AG286" s="140"/>
      <c r="AH286" s="140"/>
      <c r="AI286" s="140"/>
      <c r="AJ286" s="141"/>
      <c r="AK286" s="140"/>
      <c r="AL286" s="140"/>
      <c r="AM286" s="140"/>
      <c r="AN286" s="140"/>
      <c r="AO286" s="140"/>
      <c r="AP286" s="140"/>
      <c r="AQ286" s="138"/>
      <c r="AR286" s="140"/>
      <c r="AS286" s="140"/>
      <c r="AT286" s="140"/>
      <c r="AU286" s="140"/>
      <c r="AV286" s="138"/>
      <c r="AW286" s="138"/>
      <c r="AX286" s="140"/>
      <c r="AY286" s="140"/>
      <c r="AZ286" s="140"/>
      <c r="BA286" s="140"/>
      <c r="BB286" s="140"/>
      <c r="BC286" s="140"/>
    </row>
    <row r="287" ht="15.75" customHeight="1">
      <c r="C287" s="137"/>
      <c r="D287" s="138"/>
      <c r="E287" s="138"/>
      <c r="F287" s="138"/>
      <c r="J287" s="138"/>
      <c r="K287" s="138"/>
      <c r="L287" s="138"/>
      <c r="M287" s="139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32"/>
      <c r="AE287" s="140"/>
      <c r="AF287" s="140"/>
      <c r="AG287" s="140"/>
      <c r="AH287" s="140"/>
      <c r="AI287" s="140"/>
      <c r="AJ287" s="141"/>
      <c r="AK287" s="140"/>
      <c r="AL287" s="140"/>
      <c r="AM287" s="140"/>
      <c r="AN287" s="140"/>
      <c r="AO287" s="140"/>
      <c r="AP287" s="140"/>
      <c r="AQ287" s="138"/>
      <c r="AR287" s="140"/>
      <c r="AS287" s="140"/>
      <c r="AT287" s="140"/>
      <c r="AU287" s="140"/>
      <c r="AV287" s="138"/>
      <c r="AW287" s="138"/>
      <c r="AX287" s="140"/>
      <c r="AY287" s="140"/>
      <c r="AZ287" s="140"/>
      <c r="BA287" s="140"/>
      <c r="BB287" s="140"/>
      <c r="BC287" s="140"/>
    </row>
    <row r="288" ht="15.75" customHeight="1">
      <c r="C288" s="137"/>
      <c r="D288" s="138"/>
      <c r="E288" s="138"/>
      <c r="F288" s="138"/>
      <c r="J288" s="138"/>
      <c r="K288" s="138"/>
      <c r="L288" s="138"/>
      <c r="M288" s="139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32"/>
      <c r="AE288" s="140"/>
      <c r="AF288" s="140"/>
      <c r="AG288" s="140"/>
      <c r="AH288" s="140"/>
      <c r="AI288" s="140"/>
      <c r="AJ288" s="141"/>
      <c r="AK288" s="140"/>
      <c r="AL288" s="140"/>
      <c r="AM288" s="140"/>
      <c r="AN288" s="140"/>
      <c r="AO288" s="140"/>
      <c r="AP288" s="140"/>
      <c r="AQ288" s="138"/>
      <c r="AR288" s="140"/>
      <c r="AS288" s="140"/>
      <c r="AT288" s="140"/>
      <c r="AU288" s="140"/>
      <c r="AV288" s="138"/>
      <c r="AW288" s="138"/>
      <c r="AX288" s="140"/>
      <c r="AY288" s="140"/>
      <c r="AZ288" s="140"/>
      <c r="BA288" s="140"/>
      <c r="BB288" s="140"/>
      <c r="BC288" s="140"/>
    </row>
    <row r="289" ht="15.75" customHeight="1">
      <c r="C289" s="137"/>
      <c r="D289" s="138"/>
      <c r="E289" s="138"/>
      <c r="F289" s="138"/>
      <c r="J289" s="138"/>
      <c r="K289" s="138"/>
      <c r="L289" s="138"/>
      <c r="M289" s="139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32"/>
      <c r="AE289" s="140"/>
      <c r="AF289" s="140"/>
      <c r="AG289" s="140"/>
      <c r="AH289" s="140"/>
      <c r="AI289" s="140"/>
      <c r="AJ289" s="141"/>
      <c r="AK289" s="140"/>
      <c r="AL289" s="140"/>
      <c r="AM289" s="140"/>
      <c r="AN289" s="140"/>
      <c r="AO289" s="140"/>
      <c r="AP289" s="140"/>
      <c r="AQ289" s="138"/>
      <c r="AR289" s="140"/>
      <c r="AS289" s="140"/>
      <c r="AT289" s="140"/>
      <c r="AU289" s="140"/>
      <c r="AV289" s="138"/>
      <c r="AW289" s="138"/>
      <c r="AX289" s="140"/>
      <c r="AY289" s="140"/>
      <c r="AZ289" s="140"/>
      <c r="BA289" s="140"/>
      <c r="BB289" s="140"/>
      <c r="BC289" s="140"/>
    </row>
    <row r="290" ht="15.75" customHeight="1">
      <c r="C290" s="137"/>
      <c r="D290" s="138"/>
      <c r="E290" s="138"/>
      <c r="F290" s="138"/>
      <c r="J290" s="138"/>
      <c r="K290" s="138"/>
      <c r="L290" s="138"/>
      <c r="M290" s="139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32"/>
      <c r="AE290" s="140"/>
      <c r="AF290" s="140"/>
      <c r="AG290" s="140"/>
      <c r="AH290" s="140"/>
      <c r="AI290" s="140"/>
      <c r="AJ290" s="141"/>
      <c r="AK290" s="140"/>
      <c r="AL290" s="140"/>
      <c r="AM290" s="140"/>
      <c r="AN290" s="140"/>
      <c r="AO290" s="140"/>
      <c r="AP290" s="140"/>
      <c r="AQ290" s="138"/>
      <c r="AR290" s="140"/>
      <c r="AS290" s="140"/>
      <c r="AT290" s="140"/>
      <c r="AU290" s="140"/>
      <c r="AV290" s="138"/>
      <c r="AW290" s="138"/>
      <c r="AX290" s="140"/>
      <c r="AY290" s="140"/>
      <c r="AZ290" s="140"/>
      <c r="BA290" s="140"/>
      <c r="BB290" s="140"/>
      <c r="BC290" s="140"/>
    </row>
    <row r="291" ht="15.75" customHeight="1">
      <c r="C291" s="137"/>
      <c r="D291" s="138"/>
      <c r="E291" s="138"/>
      <c r="F291" s="138"/>
      <c r="J291" s="138"/>
      <c r="K291" s="138"/>
      <c r="L291" s="138"/>
      <c r="M291" s="139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32"/>
      <c r="AE291" s="140"/>
      <c r="AF291" s="140"/>
      <c r="AG291" s="140"/>
      <c r="AH291" s="140"/>
      <c r="AI291" s="140"/>
      <c r="AJ291" s="141"/>
      <c r="AK291" s="140"/>
      <c r="AL291" s="140"/>
      <c r="AM291" s="140"/>
      <c r="AN291" s="140"/>
      <c r="AO291" s="140"/>
      <c r="AP291" s="140"/>
      <c r="AQ291" s="138"/>
      <c r="AR291" s="140"/>
      <c r="AS291" s="140"/>
      <c r="AT291" s="140"/>
      <c r="AU291" s="140"/>
      <c r="AV291" s="138"/>
      <c r="AW291" s="138"/>
      <c r="AX291" s="140"/>
      <c r="AY291" s="140"/>
      <c r="AZ291" s="140"/>
      <c r="BA291" s="140"/>
      <c r="BB291" s="140"/>
      <c r="BC291" s="140"/>
    </row>
    <row r="292" ht="15.75" customHeight="1">
      <c r="C292" s="137"/>
      <c r="D292" s="138"/>
      <c r="E292" s="138"/>
      <c r="F292" s="138"/>
      <c r="J292" s="138"/>
      <c r="K292" s="138"/>
      <c r="L292" s="138"/>
      <c r="M292" s="139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32"/>
      <c r="AE292" s="140"/>
      <c r="AF292" s="140"/>
      <c r="AG292" s="140"/>
      <c r="AH292" s="140"/>
      <c r="AI292" s="140"/>
      <c r="AJ292" s="141"/>
      <c r="AK292" s="140"/>
      <c r="AL292" s="140"/>
      <c r="AM292" s="140"/>
      <c r="AN292" s="140"/>
      <c r="AO292" s="140"/>
      <c r="AP292" s="140"/>
      <c r="AQ292" s="138"/>
      <c r="AR292" s="140"/>
      <c r="AS292" s="140"/>
      <c r="AT292" s="140"/>
      <c r="AU292" s="140"/>
      <c r="AV292" s="138"/>
      <c r="AW292" s="138"/>
      <c r="AX292" s="140"/>
      <c r="AY292" s="140"/>
      <c r="AZ292" s="140"/>
      <c r="BA292" s="140"/>
      <c r="BB292" s="140"/>
      <c r="BC292" s="140"/>
    </row>
    <row r="293" ht="15.75" customHeight="1">
      <c r="C293" s="137"/>
      <c r="D293" s="138"/>
      <c r="E293" s="138"/>
      <c r="F293" s="138"/>
      <c r="J293" s="138"/>
      <c r="K293" s="138"/>
      <c r="L293" s="138"/>
      <c r="M293" s="139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32"/>
      <c r="AE293" s="140"/>
      <c r="AF293" s="140"/>
      <c r="AG293" s="140"/>
      <c r="AH293" s="140"/>
      <c r="AI293" s="140"/>
      <c r="AJ293" s="141"/>
      <c r="AK293" s="140"/>
      <c r="AL293" s="140"/>
      <c r="AM293" s="140"/>
      <c r="AN293" s="140"/>
      <c r="AO293" s="140"/>
      <c r="AP293" s="140"/>
      <c r="AQ293" s="138"/>
      <c r="AR293" s="140"/>
      <c r="AS293" s="140"/>
      <c r="AT293" s="140"/>
      <c r="AU293" s="140"/>
      <c r="AV293" s="138"/>
      <c r="AW293" s="138"/>
      <c r="AX293" s="140"/>
      <c r="AY293" s="140"/>
      <c r="AZ293" s="140"/>
      <c r="BA293" s="140"/>
      <c r="BB293" s="140"/>
      <c r="BC293" s="140"/>
    </row>
    <row r="294" ht="15.75" customHeight="1">
      <c r="C294" s="137"/>
      <c r="D294" s="138"/>
      <c r="E294" s="138"/>
      <c r="F294" s="138"/>
      <c r="J294" s="138"/>
      <c r="K294" s="138"/>
      <c r="L294" s="138"/>
      <c r="M294" s="139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32"/>
      <c r="AE294" s="140"/>
      <c r="AF294" s="140"/>
      <c r="AG294" s="140"/>
      <c r="AH294" s="140"/>
      <c r="AI294" s="140"/>
      <c r="AJ294" s="141"/>
      <c r="AK294" s="140"/>
      <c r="AL294" s="140"/>
      <c r="AM294" s="140"/>
      <c r="AN294" s="140"/>
      <c r="AO294" s="140"/>
      <c r="AP294" s="140"/>
      <c r="AQ294" s="138"/>
      <c r="AR294" s="140"/>
      <c r="AS294" s="140"/>
      <c r="AT294" s="140"/>
      <c r="AU294" s="140"/>
      <c r="AV294" s="138"/>
      <c r="AW294" s="138"/>
      <c r="AX294" s="140"/>
      <c r="AY294" s="140"/>
      <c r="AZ294" s="140"/>
      <c r="BA294" s="140"/>
      <c r="BB294" s="140"/>
      <c r="BC294" s="140"/>
    </row>
    <row r="295" ht="15.75" customHeight="1">
      <c r="C295" s="137"/>
      <c r="D295" s="138"/>
      <c r="E295" s="138"/>
      <c r="F295" s="138"/>
      <c r="J295" s="138"/>
      <c r="K295" s="138"/>
      <c r="L295" s="138"/>
      <c r="M295" s="139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32"/>
      <c r="AE295" s="140"/>
      <c r="AF295" s="140"/>
      <c r="AG295" s="140"/>
      <c r="AH295" s="140"/>
      <c r="AI295" s="140"/>
      <c r="AJ295" s="141"/>
      <c r="AK295" s="140"/>
      <c r="AL295" s="140"/>
      <c r="AM295" s="140"/>
      <c r="AN295" s="140"/>
      <c r="AO295" s="140"/>
      <c r="AP295" s="140"/>
      <c r="AQ295" s="138"/>
      <c r="AR295" s="140"/>
      <c r="AS295" s="140"/>
      <c r="AT295" s="140"/>
      <c r="AU295" s="140"/>
      <c r="AV295" s="138"/>
      <c r="AW295" s="138"/>
      <c r="AX295" s="140"/>
      <c r="AY295" s="140"/>
      <c r="AZ295" s="140"/>
      <c r="BA295" s="140"/>
      <c r="BB295" s="140"/>
      <c r="BC295" s="140"/>
    </row>
    <row r="296" ht="15.75" customHeight="1">
      <c r="C296" s="137"/>
      <c r="D296" s="138"/>
      <c r="E296" s="138"/>
      <c r="F296" s="138"/>
      <c r="J296" s="138"/>
      <c r="K296" s="138"/>
      <c r="L296" s="138"/>
      <c r="M296" s="139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32"/>
      <c r="AE296" s="140"/>
      <c r="AF296" s="140"/>
      <c r="AG296" s="140"/>
      <c r="AH296" s="140"/>
      <c r="AI296" s="140"/>
      <c r="AJ296" s="141"/>
      <c r="AK296" s="140"/>
      <c r="AL296" s="140"/>
      <c r="AM296" s="140"/>
      <c r="AN296" s="140"/>
      <c r="AO296" s="140"/>
      <c r="AP296" s="140"/>
      <c r="AQ296" s="138"/>
      <c r="AR296" s="140"/>
      <c r="AS296" s="140"/>
      <c r="AT296" s="140"/>
      <c r="AU296" s="140"/>
      <c r="AV296" s="138"/>
      <c r="AW296" s="138"/>
      <c r="AX296" s="140"/>
      <c r="AY296" s="140"/>
      <c r="AZ296" s="140"/>
      <c r="BA296" s="140"/>
      <c r="BB296" s="140"/>
      <c r="BC296" s="140"/>
    </row>
    <row r="297" ht="15.75" customHeight="1">
      <c r="C297" s="137"/>
      <c r="D297" s="138"/>
      <c r="E297" s="138"/>
      <c r="F297" s="138"/>
      <c r="J297" s="138"/>
      <c r="K297" s="138"/>
      <c r="L297" s="138"/>
      <c r="M297" s="139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32"/>
      <c r="AE297" s="140"/>
      <c r="AF297" s="140"/>
      <c r="AG297" s="140"/>
      <c r="AH297" s="140"/>
      <c r="AI297" s="140"/>
      <c r="AJ297" s="141"/>
      <c r="AK297" s="140"/>
      <c r="AL297" s="140"/>
      <c r="AM297" s="140"/>
      <c r="AN297" s="140"/>
      <c r="AO297" s="140"/>
      <c r="AP297" s="140"/>
      <c r="AQ297" s="138"/>
      <c r="AR297" s="140"/>
      <c r="AS297" s="140"/>
      <c r="AT297" s="140"/>
      <c r="AU297" s="140"/>
      <c r="AV297" s="138"/>
      <c r="AW297" s="138"/>
      <c r="AX297" s="140"/>
      <c r="AY297" s="140"/>
      <c r="AZ297" s="140"/>
      <c r="BA297" s="140"/>
      <c r="BB297" s="140"/>
      <c r="BC297" s="140"/>
    </row>
    <row r="298" ht="15.75" customHeight="1">
      <c r="C298" s="137"/>
      <c r="D298" s="138"/>
      <c r="E298" s="138"/>
      <c r="F298" s="138"/>
      <c r="J298" s="138"/>
      <c r="K298" s="138"/>
      <c r="L298" s="138"/>
      <c r="M298" s="139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32"/>
      <c r="AE298" s="140"/>
      <c r="AF298" s="140"/>
      <c r="AG298" s="140"/>
      <c r="AH298" s="140"/>
      <c r="AI298" s="140"/>
      <c r="AJ298" s="141"/>
      <c r="AK298" s="140"/>
      <c r="AL298" s="140"/>
      <c r="AM298" s="140"/>
      <c r="AN298" s="140"/>
      <c r="AO298" s="140"/>
      <c r="AP298" s="140"/>
      <c r="AQ298" s="138"/>
      <c r="AR298" s="140"/>
      <c r="AS298" s="140"/>
      <c r="AT298" s="140"/>
      <c r="AU298" s="140"/>
      <c r="AV298" s="138"/>
      <c r="AW298" s="138"/>
      <c r="AX298" s="140"/>
      <c r="AY298" s="140"/>
      <c r="AZ298" s="140"/>
      <c r="BA298" s="140"/>
      <c r="BB298" s="140"/>
      <c r="BC298" s="140"/>
    </row>
    <row r="299" ht="15.75" customHeight="1">
      <c r="C299" s="137"/>
      <c r="D299" s="138"/>
      <c r="E299" s="138"/>
      <c r="F299" s="138"/>
      <c r="J299" s="138"/>
      <c r="K299" s="138"/>
      <c r="L299" s="138"/>
      <c r="M299" s="139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32"/>
      <c r="AE299" s="140"/>
      <c r="AF299" s="140"/>
      <c r="AG299" s="140"/>
      <c r="AH299" s="140"/>
      <c r="AI299" s="140"/>
      <c r="AJ299" s="141"/>
      <c r="AK299" s="140"/>
      <c r="AL299" s="140"/>
      <c r="AM299" s="140"/>
      <c r="AN299" s="140"/>
      <c r="AO299" s="140"/>
      <c r="AP299" s="140"/>
      <c r="AQ299" s="138"/>
      <c r="AR299" s="140"/>
      <c r="AS299" s="140"/>
      <c r="AT299" s="140"/>
      <c r="AU299" s="140"/>
      <c r="AV299" s="138"/>
      <c r="AW299" s="138"/>
      <c r="AX299" s="140"/>
      <c r="AY299" s="140"/>
      <c r="AZ299" s="140"/>
      <c r="BA299" s="140"/>
      <c r="BB299" s="140"/>
      <c r="BC299" s="140"/>
    </row>
    <row r="300" ht="15.75" customHeight="1">
      <c r="C300" s="137"/>
      <c r="D300" s="138"/>
      <c r="E300" s="138"/>
      <c r="F300" s="138"/>
      <c r="J300" s="138"/>
      <c r="K300" s="138"/>
      <c r="L300" s="138"/>
      <c r="M300" s="139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32"/>
      <c r="AE300" s="140"/>
      <c r="AF300" s="140"/>
      <c r="AG300" s="140"/>
      <c r="AH300" s="140"/>
      <c r="AI300" s="140"/>
      <c r="AJ300" s="141"/>
      <c r="AK300" s="140"/>
      <c r="AL300" s="140"/>
      <c r="AM300" s="140"/>
      <c r="AN300" s="140"/>
      <c r="AO300" s="140"/>
      <c r="AP300" s="140"/>
      <c r="AQ300" s="138"/>
      <c r="AR300" s="140"/>
      <c r="AS300" s="140"/>
      <c r="AT300" s="140"/>
      <c r="AU300" s="140"/>
      <c r="AV300" s="138"/>
      <c r="AW300" s="138"/>
      <c r="AX300" s="140"/>
      <c r="AY300" s="140"/>
      <c r="AZ300" s="140"/>
      <c r="BA300" s="140"/>
      <c r="BB300" s="140"/>
      <c r="BC300" s="140"/>
    </row>
    <row r="301" ht="15.75" customHeight="1">
      <c r="C301" s="137"/>
      <c r="D301" s="138"/>
      <c r="E301" s="138"/>
      <c r="F301" s="138"/>
      <c r="J301" s="138"/>
      <c r="K301" s="138"/>
      <c r="L301" s="138"/>
      <c r="M301" s="139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32"/>
      <c r="AE301" s="140"/>
      <c r="AF301" s="140"/>
      <c r="AG301" s="140"/>
      <c r="AH301" s="140"/>
      <c r="AI301" s="140"/>
      <c r="AJ301" s="141"/>
      <c r="AK301" s="140"/>
      <c r="AL301" s="140"/>
      <c r="AM301" s="140"/>
      <c r="AN301" s="140"/>
      <c r="AO301" s="140"/>
      <c r="AP301" s="140"/>
      <c r="AQ301" s="138"/>
      <c r="AR301" s="140"/>
      <c r="AS301" s="140"/>
      <c r="AT301" s="140"/>
      <c r="AU301" s="140"/>
      <c r="AV301" s="138"/>
      <c r="AW301" s="138"/>
      <c r="AX301" s="140"/>
      <c r="AY301" s="140"/>
      <c r="AZ301" s="140"/>
      <c r="BA301" s="140"/>
      <c r="BB301" s="140"/>
      <c r="BC301" s="140"/>
    </row>
    <row r="302" ht="15.75" customHeight="1">
      <c r="C302" s="137"/>
      <c r="D302" s="138"/>
      <c r="E302" s="138"/>
      <c r="F302" s="138"/>
      <c r="J302" s="138"/>
      <c r="K302" s="138"/>
      <c r="L302" s="138"/>
      <c r="M302" s="139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32"/>
      <c r="AE302" s="140"/>
      <c r="AF302" s="140"/>
      <c r="AG302" s="140"/>
      <c r="AH302" s="140"/>
      <c r="AI302" s="140"/>
      <c r="AJ302" s="141"/>
      <c r="AK302" s="140"/>
      <c r="AL302" s="140"/>
      <c r="AM302" s="140"/>
      <c r="AN302" s="140"/>
      <c r="AO302" s="140"/>
      <c r="AP302" s="140"/>
      <c r="AQ302" s="138"/>
      <c r="AR302" s="140"/>
      <c r="AS302" s="140"/>
      <c r="AT302" s="140"/>
      <c r="AU302" s="140"/>
      <c r="AV302" s="138"/>
      <c r="AW302" s="138"/>
      <c r="AX302" s="140"/>
      <c r="AY302" s="140"/>
      <c r="AZ302" s="140"/>
      <c r="BA302" s="140"/>
      <c r="BB302" s="140"/>
      <c r="BC302" s="140"/>
    </row>
    <row r="303" ht="15.75" customHeight="1">
      <c r="C303" s="137"/>
      <c r="D303" s="138"/>
      <c r="E303" s="138"/>
      <c r="F303" s="138"/>
      <c r="J303" s="138"/>
      <c r="K303" s="138"/>
      <c r="L303" s="138"/>
      <c r="M303" s="139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32"/>
      <c r="AE303" s="140"/>
      <c r="AF303" s="140"/>
      <c r="AG303" s="140"/>
      <c r="AH303" s="140"/>
      <c r="AI303" s="140"/>
      <c r="AJ303" s="141"/>
      <c r="AK303" s="140"/>
      <c r="AL303" s="140"/>
      <c r="AM303" s="140"/>
      <c r="AN303" s="140"/>
      <c r="AO303" s="140"/>
      <c r="AP303" s="140"/>
      <c r="AQ303" s="138"/>
      <c r="AR303" s="140"/>
      <c r="AS303" s="140"/>
      <c r="AT303" s="140"/>
      <c r="AU303" s="140"/>
      <c r="AV303" s="138"/>
      <c r="AW303" s="138"/>
      <c r="AX303" s="140"/>
      <c r="AY303" s="140"/>
      <c r="AZ303" s="140"/>
      <c r="BA303" s="140"/>
      <c r="BB303" s="140"/>
      <c r="BC303" s="140"/>
    </row>
    <row r="304" ht="15.75" customHeight="1">
      <c r="C304" s="137"/>
      <c r="D304" s="138"/>
      <c r="E304" s="138"/>
      <c r="F304" s="138"/>
      <c r="J304" s="138"/>
      <c r="K304" s="138"/>
      <c r="L304" s="138"/>
      <c r="M304" s="139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32"/>
      <c r="AE304" s="140"/>
      <c r="AF304" s="140"/>
      <c r="AG304" s="140"/>
      <c r="AH304" s="140"/>
      <c r="AI304" s="140"/>
      <c r="AJ304" s="141"/>
      <c r="AK304" s="140"/>
      <c r="AL304" s="140"/>
      <c r="AM304" s="140"/>
      <c r="AN304" s="140"/>
      <c r="AO304" s="140"/>
      <c r="AP304" s="140"/>
      <c r="AQ304" s="138"/>
      <c r="AR304" s="140"/>
      <c r="AS304" s="140"/>
      <c r="AT304" s="140"/>
      <c r="AU304" s="140"/>
      <c r="AV304" s="138"/>
      <c r="AW304" s="138"/>
      <c r="AX304" s="140"/>
      <c r="AY304" s="140"/>
      <c r="AZ304" s="140"/>
      <c r="BA304" s="140"/>
      <c r="BB304" s="140"/>
      <c r="BC304" s="140"/>
    </row>
    <row r="305" ht="15.75" customHeight="1">
      <c r="C305" s="137"/>
      <c r="D305" s="138"/>
      <c r="E305" s="138"/>
      <c r="F305" s="138"/>
      <c r="J305" s="138"/>
      <c r="K305" s="138"/>
      <c r="L305" s="138"/>
      <c r="M305" s="139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32"/>
      <c r="AE305" s="140"/>
      <c r="AF305" s="140"/>
      <c r="AG305" s="140"/>
      <c r="AH305" s="140"/>
      <c r="AI305" s="140"/>
      <c r="AJ305" s="141"/>
      <c r="AK305" s="140"/>
      <c r="AL305" s="140"/>
      <c r="AM305" s="140"/>
      <c r="AN305" s="140"/>
      <c r="AO305" s="140"/>
      <c r="AP305" s="140"/>
      <c r="AQ305" s="138"/>
      <c r="AR305" s="140"/>
      <c r="AS305" s="140"/>
      <c r="AT305" s="140"/>
      <c r="AU305" s="140"/>
      <c r="AV305" s="138"/>
      <c r="AW305" s="138"/>
      <c r="AX305" s="140"/>
      <c r="AY305" s="140"/>
      <c r="AZ305" s="140"/>
      <c r="BA305" s="140"/>
      <c r="BB305" s="140"/>
      <c r="BC305" s="140"/>
    </row>
    <row r="306" ht="15.75" customHeight="1">
      <c r="C306" s="137"/>
      <c r="D306" s="138"/>
      <c r="E306" s="138"/>
      <c r="F306" s="138"/>
      <c r="J306" s="138"/>
      <c r="K306" s="138"/>
      <c r="L306" s="138"/>
      <c r="M306" s="139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32"/>
      <c r="AE306" s="140"/>
      <c r="AF306" s="140"/>
      <c r="AG306" s="140"/>
      <c r="AH306" s="140"/>
      <c r="AI306" s="140"/>
      <c r="AJ306" s="141"/>
      <c r="AK306" s="140"/>
      <c r="AL306" s="140"/>
      <c r="AM306" s="140"/>
      <c r="AN306" s="140"/>
      <c r="AO306" s="140"/>
      <c r="AP306" s="140"/>
      <c r="AQ306" s="138"/>
      <c r="AR306" s="140"/>
      <c r="AS306" s="140"/>
      <c r="AT306" s="140"/>
      <c r="AU306" s="140"/>
      <c r="AV306" s="138"/>
      <c r="AW306" s="138"/>
      <c r="AX306" s="140"/>
      <c r="AY306" s="140"/>
      <c r="AZ306" s="140"/>
      <c r="BA306" s="140"/>
      <c r="BB306" s="140"/>
      <c r="BC306" s="140"/>
    </row>
    <row r="307" ht="15.75" customHeight="1">
      <c r="C307" s="137"/>
      <c r="D307" s="138"/>
      <c r="E307" s="138"/>
      <c r="F307" s="138"/>
      <c r="J307" s="138"/>
      <c r="K307" s="138"/>
      <c r="L307" s="138"/>
      <c r="M307" s="139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32"/>
      <c r="AE307" s="140"/>
      <c r="AF307" s="140"/>
      <c r="AG307" s="140"/>
      <c r="AH307" s="140"/>
      <c r="AI307" s="140"/>
      <c r="AJ307" s="141"/>
      <c r="AK307" s="140"/>
      <c r="AL307" s="140"/>
      <c r="AM307" s="140"/>
      <c r="AN307" s="140"/>
      <c r="AO307" s="140"/>
      <c r="AP307" s="140"/>
      <c r="AQ307" s="138"/>
      <c r="AR307" s="140"/>
      <c r="AS307" s="140"/>
      <c r="AT307" s="140"/>
      <c r="AU307" s="140"/>
      <c r="AV307" s="138"/>
      <c r="AW307" s="138"/>
      <c r="AX307" s="140"/>
      <c r="AY307" s="140"/>
      <c r="AZ307" s="140"/>
      <c r="BA307" s="140"/>
      <c r="BB307" s="140"/>
      <c r="BC307" s="140"/>
    </row>
    <row r="308" ht="15.75" customHeight="1">
      <c r="C308" s="137"/>
      <c r="D308" s="138"/>
      <c r="E308" s="138"/>
      <c r="F308" s="138"/>
      <c r="J308" s="138"/>
      <c r="K308" s="138"/>
      <c r="L308" s="138"/>
      <c r="M308" s="139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32"/>
      <c r="AE308" s="140"/>
      <c r="AF308" s="140"/>
      <c r="AG308" s="140"/>
      <c r="AH308" s="140"/>
      <c r="AI308" s="140"/>
      <c r="AJ308" s="141"/>
      <c r="AK308" s="140"/>
      <c r="AL308" s="140"/>
      <c r="AM308" s="140"/>
      <c r="AN308" s="140"/>
      <c r="AO308" s="140"/>
      <c r="AP308" s="140"/>
      <c r="AQ308" s="138"/>
      <c r="AR308" s="140"/>
      <c r="AS308" s="140"/>
      <c r="AT308" s="140"/>
      <c r="AU308" s="140"/>
      <c r="AV308" s="138"/>
      <c r="AW308" s="138"/>
      <c r="AX308" s="140"/>
      <c r="AY308" s="140"/>
      <c r="AZ308" s="140"/>
      <c r="BA308" s="140"/>
      <c r="BB308" s="140"/>
      <c r="BC308" s="140"/>
    </row>
    <row r="309" ht="15.75" customHeight="1">
      <c r="C309" s="137"/>
      <c r="D309" s="138"/>
      <c r="E309" s="138"/>
      <c r="F309" s="138"/>
      <c r="J309" s="138"/>
      <c r="K309" s="138"/>
      <c r="L309" s="138"/>
      <c r="M309" s="139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32"/>
      <c r="AE309" s="140"/>
      <c r="AF309" s="140"/>
      <c r="AG309" s="140"/>
      <c r="AH309" s="140"/>
      <c r="AI309" s="140"/>
      <c r="AJ309" s="141"/>
      <c r="AK309" s="140"/>
      <c r="AL309" s="140"/>
      <c r="AM309" s="140"/>
      <c r="AN309" s="140"/>
      <c r="AO309" s="140"/>
      <c r="AP309" s="140"/>
      <c r="AQ309" s="138"/>
      <c r="AR309" s="140"/>
      <c r="AS309" s="140"/>
      <c r="AT309" s="140"/>
      <c r="AU309" s="140"/>
      <c r="AV309" s="138"/>
      <c r="AW309" s="138"/>
      <c r="AX309" s="140"/>
      <c r="AY309" s="140"/>
      <c r="AZ309" s="140"/>
      <c r="BA309" s="140"/>
      <c r="BB309" s="140"/>
      <c r="BC309" s="140"/>
    </row>
    <row r="310" ht="15.75" customHeight="1">
      <c r="C310" s="137"/>
      <c r="D310" s="138"/>
      <c r="E310" s="138"/>
      <c r="F310" s="138"/>
      <c r="J310" s="138"/>
      <c r="K310" s="138"/>
      <c r="L310" s="138"/>
      <c r="M310" s="139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32"/>
      <c r="AE310" s="140"/>
      <c r="AF310" s="140"/>
      <c r="AG310" s="140"/>
      <c r="AH310" s="140"/>
      <c r="AI310" s="140"/>
      <c r="AJ310" s="141"/>
      <c r="AK310" s="140"/>
      <c r="AL310" s="140"/>
      <c r="AM310" s="140"/>
      <c r="AN310" s="140"/>
      <c r="AO310" s="140"/>
      <c r="AP310" s="140"/>
      <c r="AQ310" s="138"/>
      <c r="AR310" s="140"/>
      <c r="AS310" s="140"/>
      <c r="AT310" s="140"/>
      <c r="AU310" s="140"/>
      <c r="AV310" s="138"/>
      <c r="AW310" s="138"/>
      <c r="AX310" s="140"/>
      <c r="AY310" s="140"/>
      <c r="AZ310" s="140"/>
      <c r="BA310" s="140"/>
      <c r="BB310" s="140"/>
      <c r="BC310" s="140"/>
    </row>
    <row r="311" ht="15.75" customHeight="1">
      <c r="C311" s="137"/>
      <c r="D311" s="138"/>
      <c r="E311" s="138"/>
      <c r="F311" s="138"/>
      <c r="J311" s="138"/>
      <c r="K311" s="138"/>
      <c r="L311" s="138"/>
      <c r="M311" s="139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32"/>
      <c r="AE311" s="140"/>
      <c r="AF311" s="140"/>
      <c r="AG311" s="140"/>
      <c r="AH311" s="140"/>
      <c r="AI311" s="140"/>
      <c r="AJ311" s="141"/>
      <c r="AK311" s="140"/>
      <c r="AL311" s="140"/>
      <c r="AM311" s="140"/>
      <c r="AN311" s="140"/>
      <c r="AO311" s="140"/>
      <c r="AP311" s="140"/>
      <c r="AQ311" s="138"/>
      <c r="AR311" s="140"/>
      <c r="AS311" s="140"/>
      <c r="AT311" s="140"/>
      <c r="AU311" s="140"/>
      <c r="AV311" s="138"/>
      <c r="AW311" s="138"/>
      <c r="AX311" s="140"/>
      <c r="AY311" s="140"/>
      <c r="AZ311" s="140"/>
      <c r="BA311" s="140"/>
      <c r="BB311" s="140"/>
      <c r="BC311" s="140"/>
    </row>
    <row r="312" ht="15.75" customHeight="1">
      <c r="C312" s="137"/>
      <c r="D312" s="138"/>
      <c r="E312" s="138"/>
      <c r="F312" s="138"/>
      <c r="J312" s="138"/>
      <c r="K312" s="138"/>
      <c r="L312" s="138"/>
      <c r="M312" s="139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32"/>
      <c r="AE312" s="140"/>
      <c r="AF312" s="140"/>
      <c r="AG312" s="140"/>
      <c r="AH312" s="140"/>
      <c r="AI312" s="140"/>
      <c r="AJ312" s="141"/>
      <c r="AK312" s="140"/>
      <c r="AL312" s="140"/>
      <c r="AM312" s="140"/>
      <c r="AN312" s="140"/>
      <c r="AO312" s="140"/>
      <c r="AP312" s="140"/>
      <c r="AQ312" s="138"/>
      <c r="AR312" s="140"/>
      <c r="AS312" s="140"/>
      <c r="AT312" s="140"/>
      <c r="AU312" s="140"/>
      <c r="AV312" s="138"/>
      <c r="AW312" s="138"/>
      <c r="AX312" s="140"/>
      <c r="AY312" s="140"/>
      <c r="AZ312" s="140"/>
      <c r="BA312" s="140"/>
      <c r="BB312" s="140"/>
      <c r="BC312" s="140"/>
    </row>
    <row r="313" ht="15.75" customHeight="1">
      <c r="C313" s="137"/>
      <c r="D313" s="138"/>
      <c r="E313" s="138"/>
      <c r="F313" s="138"/>
      <c r="J313" s="138"/>
      <c r="K313" s="138"/>
      <c r="L313" s="138"/>
      <c r="M313" s="139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32"/>
      <c r="AE313" s="140"/>
      <c r="AF313" s="140"/>
      <c r="AG313" s="140"/>
      <c r="AH313" s="140"/>
      <c r="AI313" s="140"/>
      <c r="AJ313" s="141"/>
      <c r="AK313" s="140"/>
      <c r="AL313" s="140"/>
      <c r="AM313" s="140"/>
      <c r="AN313" s="140"/>
      <c r="AO313" s="140"/>
      <c r="AP313" s="140"/>
      <c r="AQ313" s="138"/>
      <c r="AR313" s="140"/>
      <c r="AS313" s="140"/>
      <c r="AT313" s="140"/>
      <c r="AU313" s="140"/>
      <c r="AV313" s="138"/>
      <c r="AW313" s="138"/>
      <c r="AX313" s="140"/>
      <c r="AY313" s="140"/>
      <c r="AZ313" s="140"/>
      <c r="BA313" s="140"/>
      <c r="BB313" s="140"/>
      <c r="BC313" s="140"/>
    </row>
    <row r="314" ht="15.75" customHeight="1">
      <c r="C314" s="137"/>
      <c r="D314" s="138"/>
      <c r="E314" s="138"/>
      <c r="F314" s="138"/>
      <c r="J314" s="138"/>
      <c r="K314" s="138"/>
      <c r="L314" s="138"/>
      <c r="M314" s="139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32"/>
      <c r="AE314" s="140"/>
      <c r="AF314" s="140"/>
      <c r="AG314" s="140"/>
      <c r="AH314" s="140"/>
      <c r="AI314" s="140"/>
      <c r="AJ314" s="141"/>
      <c r="AK314" s="140"/>
      <c r="AL314" s="140"/>
      <c r="AM314" s="140"/>
      <c r="AN314" s="140"/>
      <c r="AO314" s="140"/>
      <c r="AP314" s="140"/>
      <c r="AQ314" s="138"/>
      <c r="AR314" s="140"/>
      <c r="AS314" s="140"/>
      <c r="AT314" s="140"/>
      <c r="AU314" s="140"/>
      <c r="AV314" s="138"/>
      <c r="AW314" s="138"/>
      <c r="AX314" s="140"/>
      <c r="AY314" s="140"/>
      <c r="AZ314" s="140"/>
      <c r="BA314" s="140"/>
      <c r="BB314" s="140"/>
      <c r="BC314" s="140"/>
    </row>
    <row r="315" ht="15.75" customHeight="1">
      <c r="C315" s="137"/>
      <c r="D315" s="138"/>
      <c r="E315" s="138"/>
      <c r="F315" s="138"/>
      <c r="J315" s="138"/>
      <c r="K315" s="138"/>
      <c r="L315" s="138"/>
      <c r="M315" s="139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32"/>
      <c r="AE315" s="140"/>
      <c r="AF315" s="140"/>
      <c r="AG315" s="140"/>
      <c r="AH315" s="140"/>
      <c r="AI315" s="140"/>
      <c r="AJ315" s="141"/>
      <c r="AK315" s="140"/>
      <c r="AL315" s="140"/>
      <c r="AM315" s="140"/>
      <c r="AN315" s="140"/>
      <c r="AO315" s="140"/>
      <c r="AP315" s="140"/>
      <c r="AQ315" s="138"/>
      <c r="AR315" s="140"/>
      <c r="AS315" s="140"/>
      <c r="AT315" s="140"/>
      <c r="AU315" s="140"/>
      <c r="AV315" s="138"/>
      <c r="AW315" s="138"/>
      <c r="AX315" s="140"/>
      <c r="AY315" s="140"/>
      <c r="AZ315" s="140"/>
      <c r="BA315" s="140"/>
      <c r="BB315" s="140"/>
      <c r="BC315" s="140"/>
    </row>
    <row r="316" ht="15.75" customHeight="1">
      <c r="C316" s="137"/>
      <c r="D316" s="138"/>
      <c r="E316" s="138"/>
      <c r="F316" s="138"/>
      <c r="J316" s="138"/>
      <c r="K316" s="138"/>
      <c r="L316" s="138"/>
      <c r="M316" s="139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32"/>
      <c r="AE316" s="140"/>
      <c r="AF316" s="140"/>
      <c r="AG316" s="140"/>
      <c r="AH316" s="140"/>
      <c r="AI316" s="140"/>
      <c r="AJ316" s="141"/>
      <c r="AK316" s="140"/>
      <c r="AL316" s="140"/>
      <c r="AM316" s="140"/>
      <c r="AN316" s="140"/>
      <c r="AO316" s="140"/>
      <c r="AP316" s="140"/>
      <c r="AQ316" s="138"/>
      <c r="AR316" s="140"/>
      <c r="AS316" s="140"/>
      <c r="AT316" s="140"/>
      <c r="AU316" s="140"/>
      <c r="AV316" s="138"/>
      <c r="AW316" s="138"/>
      <c r="AX316" s="140"/>
      <c r="AY316" s="140"/>
      <c r="AZ316" s="140"/>
      <c r="BA316" s="140"/>
      <c r="BB316" s="140"/>
      <c r="BC316" s="140"/>
    </row>
    <row r="317" ht="15.75" customHeight="1">
      <c r="C317" s="137"/>
      <c r="D317" s="138"/>
      <c r="E317" s="138"/>
      <c r="F317" s="138"/>
      <c r="J317" s="138"/>
      <c r="K317" s="138"/>
      <c r="L317" s="138"/>
      <c r="M317" s="139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32"/>
      <c r="AE317" s="140"/>
      <c r="AF317" s="140"/>
      <c r="AG317" s="140"/>
      <c r="AH317" s="140"/>
      <c r="AI317" s="140"/>
      <c r="AJ317" s="141"/>
      <c r="AK317" s="140"/>
      <c r="AL317" s="140"/>
      <c r="AM317" s="140"/>
      <c r="AN317" s="140"/>
      <c r="AO317" s="140"/>
      <c r="AP317" s="140"/>
      <c r="AQ317" s="138"/>
      <c r="AR317" s="140"/>
      <c r="AS317" s="140"/>
      <c r="AT317" s="140"/>
      <c r="AU317" s="140"/>
      <c r="AV317" s="138"/>
      <c r="AW317" s="138"/>
      <c r="AX317" s="140"/>
      <c r="AY317" s="140"/>
      <c r="AZ317" s="140"/>
      <c r="BA317" s="140"/>
      <c r="BB317" s="140"/>
      <c r="BC317" s="140"/>
    </row>
    <row r="318" ht="15.75" customHeight="1">
      <c r="C318" s="137"/>
      <c r="D318" s="138"/>
      <c r="E318" s="138"/>
      <c r="F318" s="138"/>
      <c r="J318" s="138"/>
      <c r="K318" s="138"/>
      <c r="L318" s="138"/>
      <c r="M318" s="139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32"/>
      <c r="AE318" s="140"/>
      <c r="AF318" s="140"/>
      <c r="AG318" s="140"/>
      <c r="AH318" s="140"/>
      <c r="AI318" s="140"/>
      <c r="AJ318" s="141"/>
      <c r="AK318" s="140"/>
      <c r="AL318" s="140"/>
      <c r="AM318" s="140"/>
      <c r="AN318" s="140"/>
      <c r="AO318" s="140"/>
      <c r="AP318" s="140"/>
      <c r="AQ318" s="138"/>
      <c r="AR318" s="140"/>
      <c r="AS318" s="140"/>
      <c r="AT318" s="140"/>
      <c r="AU318" s="140"/>
      <c r="AV318" s="138"/>
      <c r="AW318" s="138"/>
      <c r="AX318" s="140"/>
      <c r="AY318" s="140"/>
      <c r="AZ318" s="140"/>
      <c r="BA318" s="140"/>
      <c r="BB318" s="140"/>
      <c r="BC318" s="140"/>
    </row>
    <row r="319" ht="15.75" customHeight="1">
      <c r="C319" s="137"/>
      <c r="D319" s="138"/>
      <c r="E319" s="138"/>
      <c r="F319" s="138"/>
      <c r="J319" s="138"/>
      <c r="K319" s="138"/>
      <c r="L319" s="138"/>
      <c r="M319" s="139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32"/>
      <c r="AE319" s="140"/>
      <c r="AF319" s="140"/>
      <c r="AG319" s="140"/>
      <c r="AH319" s="140"/>
      <c r="AI319" s="140"/>
      <c r="AJ319" s="141"/>
      <c r="AK319" s="140"/>
      <c r="AL319" s="140"/>
      <c r="AM319" s="140"/>
      <c r="AN319" s="140"/>
      <c r="AO319" s="140"/>
      <c r="AP319" s="140"/>
      <c r="AQ319" s="138"/>
      <c r="AR319" s="140"/>
      <c r="AS319" s="140"/>
      <c r="AT319" s="140"/>
      <c r="AU319" s="140"/>
      <c r="AV319" s="138"/>
      <c r="AW319" s="138"/>
      <c r="AX319" s="140"/>
      <c r="AY319" s="140"/>
      <c r="AZ319" s="140"/>
      <c r="BA319" s="140"/>
      <c r="BB319" s="140"/>
      <c r="BC319" s="140"/>
    </row>
    <row r="320" ht="15.75" customHeight="1">
      <c r="C320" s="137"/>
      <c r="D320" s="138"/>
      <c r="E320" s="138"/>
      <c r="F320" s="138"/>
      <c r="J320" s="138"/>
      <c r="K320" s="138"/>
      <c r="L320" s="138"/>
      <c r="M320" s="139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32"/>
      <c r="AE320" s="140"/>
      <c r="AF320" s="140"/>
      <c r="AG320" s="140"/>
      <c r="AH320" s="140"/>
      <c r="AI320" s="140"/>
      <c r="AJ320" s="141"/>
      <c r="AK320" s="140"/>
      <c r="AL320" s="140"/>
      <c r="AM320" s="140"/>
      <c r="AN320" s="140"/>
      <c r="AO320" s="140"/>
      <c r="AP320" s="140"/>
      <c r="AQ320" s="138"/>
      <c r="AR320" s="140"/>
      <c r="AS320" s="140"/>
      <c r="AT320" s="140"/>
      <c r="AU320" s="140"/>
      <c r="AV320" s="138"/>
      <c r="AW320" s="138"/>
      <c r="AX320" s="140"/>
      <c r="AY320" s="140"/>
      <c r="AZ320" s="140"/>
      <c r="BA320" s="140"/>
      <c r="BB320" s="140"/>
      <c r="BC320" s="140"/>
    </row>
    <row r="321" ht="15.75" customHeight="1">
      <c r="C321" s="137"/>
      <c r="D321" s="138"/>
      <c r="E321" s="138"/>
      <c r="F321" s="138"/>
      <c r="J321" s="138"/>
      <c r="K321" s="138"/>
      <c r="L321" s="138"/>
      <c r="M321" s="139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32"/>
      <c r="AE321" s="140"/>
      <c r="AF321" s="140"/>
      <c r="AG321" s="140"/>
      <c r="AH321" s="140"/>
      <c r="AI321" s="140"/>
      <c r="AJ321" s="141"/>
      <c r="AK321" s="140"/>
      <c r="AL321" s="140"/>
      <c r="AM321" s="140"/>
      <c r="AN321" s="140"/>
      <c r="AO321" s="140"/>
      <c r="AP321" s="140"/>
      <c r="AQ321" s="138"/>
      <c r="AR321" s="140"/>
      <c r="AS321" s="140"/>
      <c r="AT321" s="140"/>
      <c r="AU321" s="140"/>
      <c r="AV321" s="138"/>
      <c r="AW321" s="138"/>
      <c r="AX321" s="140"/>
      <c r="AY321" s="140"/>
      <c r="AZ321" s="140"/>
      <c r="BA321" s="140"/>
      <c r="BB321" s="140"/>
      <c r="BC321" s="140"/>
    </row>
    <row r="322" ht="15.75" customHeight="1">
      <c r="C322" s="137"/>
      <c r="D322" s="138"/>
      <c r="E322" s="138"/>
      <c r="F322" s="138"/>
      <c r="J322" s="138"/>
      <c r="K322" s="138"/>
      <c r="L322" s="138"/>
      <c r="M322" s="139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32"/>
      <c r="AE322" s="140"/>
      <c r="AF322" s="140"/>
      <c r="AG322" s="140"/>
      <c r="AH322" s="140"/>
      <c r="AI322" s="140"/>
      <c r="AJ322" s="141"/>
      <c r="AK322" s="140"/>
      <c r="AL322" s="140"/>
      <c r="AM322" s="140"/>
      <c r="AN322" s="140"/>
      <c r="AO322" s="140"/>
      <c r="AP322" s="140"/>
      <c r="AQ322" s="138"/>
      <c r="AR322" s="140"/>
      <c r="AS322" s="140"/>
      <c r="AT322" s="140"/>
      <c r="AU322" s="140"/>
      <c r="AV322" s="138"/>
      <c r="AW322" s="138"/>
      <c r="AX322" s="140"/>
      <c r="AY322" s="140"/>
      <c r="AZ322" s="140"/>
      <c r="BA322" s="140"/>
      <c r="BB322" s="140"/>
      <c r="BC322" s="140"/>
    </row>
    <row r="323" ht="15.75" customHeight="1">
      <c r="C323" s="137"/>
      <c r="D323" s="138"/>
      <c r="E323" s="138"/>
      <c r="F323" s="138"/>
      <c r="J323" s="138"/>
      <c r="K323" s="138"/>
      <c r="L323" s="138"/>
      <c r="M323" s="139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32"/>
      <c r="AE323" s="140"/>
      <c r="AF323" s="140"/>
      <c r="AG323" s="140"/>
      <c r="AH323" s="140"/>
      <c r="AI323" s="140"/>
      <c r="AJ323" s="141"/>
      <c r="AK323" s="140"/>
      <c r="AL323" s="140"/>
      <c r="AM323" s="140"/>
      <c r="AN323" s="140"/>
      <c r="AO323" s="140"/>
      <c r="AP323" s="140"/>
      <c r="AQ323" s="138"/>
      <c r="AR323" s="140"/>
      <c r="AS323" s="140"/>
      <c r="AT323" s="140"/>
      <c r="AU323" s="140"/>
      <c r="AV323" s="138"/>
      <c r="AW323" s="138"/>
      <c r="AX323" s="140"/>
      <c r="AY323" s="140"/>
      <c r="AZ323" s="140"/>
      <c r="BA323" s="140"/>
      <c r="BB323" s="140"/>
      <c r="BC323" s="140"/>
    </row>
    <row r="324" ht="15.75" customHeight="1">
      <c r="C324" s="137"/>
      <c r="D324" s="138"/>
      <c r="E324" s="138"/>
      <c r="F324" s="138"/>
      <c r="J324" s="138"/>
      <c r="K324" s="138"/>
      <c r="L324" s="138"/>
      <c r="M324" s="139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32"/>
      <c r="AE324" s="140"/>
      <c r="AF324" s="140"/>
      <c r="AG324" s="140"/>
      <c r="AH324" s="140"/>
      <c r="AI324" s="140"/>
      <c r="AJ324" s="141"/>
      <c r="AK324" s="140"/>
      <c r="AL324" s="140"/>
      <c r="AM324" s="140"/>
      <c r="AN324" s="140"/>
      <c r="AO324" s="140"/>
      <c r="AP324" s="140"/>
      <c r="AQ324" s="138"/>
      <c r="AR324" s="140"/>
      <c r="AS324" s="140"/>
      <c r="AT324" s="140"/>
      <c r="AU324" s="140"/>
      <c r="AV324" s="138"/>
      <c r="AW324" s="138"/>
      <c r="AX324" s="140"/>
      <c r="AY324" s="140"/>
      <c r="AZ324" s="140"/>
      <c r="BA324" s="140"/>
      <c r="BB324" s="140"/>
      <c r="BC324" s="140"/>
    </row>
    <row r="325" ht="15.75" customHeight="1">
      <c r="C325" s="137"/>
      <c r="D325" s="138"/>
      <c r="E325" s="138"/>
      <c r="F325" s="138"/>
      <c r="J325" s="138"/>
      <c r="K325" s="138"/>
      <c r="L325" s="138"/>
      <c r="M325" s="139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32"/>
      <c r="AE325" s="140"/>
      <c r="AF325" s="140"/>
      <c r="AG325" s="140"/>
      <c r="AH325" s="140"/>
      <c r="AI325" s="140"/>
      <c r="AJ325" s="141"/>
      <c r="AK325" s="140"/>
      <c r="AL325" s="140"/>
      <c r="AM325" s="140"/>
      <c r="AN325" s="140"/>
      <c r="AO325" s="140"/>
      <c r="AP325" s="140"/>
      <c r="AQ325" s="138"/>
      <c r="AR325" s="140"/>
      <c r="AS325" s="140"/>
      <c r="AT325" s="140"/>
      <c r="AU325" s="140"/>
      <c r="AV325" s="138"/>
      <c r="AW325" s="138"/>
      <c r="AX325" s="140"/>
      <c r="AY325" s="140"/>
      <c r="AZ325" s="140"/>
      <c r="BA325" s="140"/>
      <c r="BB325" s="140"/>
      <c r="BC325" s="140"/>
    </row>
    <row r="326" ht="15.75" customHeight="1">
      <c r="C326" s="137"/>
      <c r="D326" s="138"/>
      <c r="E326" s="138"/>
      <c r="F326" s="138"/>
      <c r="J326" s="138"/>
      <c r="K326" s="138"/>
      <c r="L326" s="138"/>
      <c r="M326" s="139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32"/>
      <c r="AE326" s="140"/>
      <c r="AF326" s="140"/>
      <c r="AG326" s="140"/>
      <c r="AH326" s="140"/>
      <c r="AI326" s="140"/>
      <c r="AJ326" s="141"/>
      <c r="AK326" s="140"/>
      <c r="AL326" s="140"/>
      <c r="AM326" s="140"/>
      <c r="AN326" s="140"/>
      <c r="AO326" s="140"/>
      <c r="AP326" s="140"/>
      <c r="AQ326" s="138"/>
      <c r="AR326" s="140"/>
      <c r="AS326" s="140"/>
      <c r="AT326" s="140"/>
      <c r="AU326" s="140"/>
      <c r="AV326" s="138"/>
      <c r="AW326" s="138"/>
      <c r="AX326" s="140"/>
      <c r="AY326" s="140"/>
      <c r="AZ326" s="140"/>
      <c r="BA326" s="140"/>
      <c r="BB326" s="140"/>
      <c r="BC326" s="140"/>
    </row>
    <row r="327" ht="15.75" customHeight="1">
      <c r="C327" s="137"/>
      <c r="D327" s="138"/>
      <c r="E327" s="138"/>
      <c r="F327" s="138"/>
      <c r="J327" s="138"/>
      <c r="K327" s="138"/>
      <c r="L327" s="138"/>
      <c r="M327" s="139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32"/>
      <c r="AE327" s="140"/>
      <c r="AF327" s="140"/>
      <c r="AG327" s="140"/>
      <c r="AH327" s="140"/>
      <c r="AI327" s="140"/>
      <c r="AJ327" s="141"/>
      <c r="AK327" s="140"/>
      <c r="AL327" s="140"/>
      <c r="AM327" s="140"/>
      <c r="AN327" s="140"/>
      <c r="AO327" s="140"/>
      <c r="AP327" s="140"/>
      <c r="AQ327" s="138"/>
      <c r="AR327" s="140"/>
      <c r="AS327" s="140"/>
      <c r="AT327" s="140"/>
      <c r="AU327" s="140"/>
      <c r="AV327" s="138"/>
      <c r="AW327" s="138"/>
      <c r="AX327" s="140"/>
      <c r="AY327" s="140"/>
      <c r="AZ327" s="140"/>
      <c r="BA327" s="140"/>
      <c r="BB327" s="140"/>
      <c r="BC327" s="140"/>
    </row>
    <row r="328" ht="15.75" customHeight="1">
      <c r="C328" s="137"/>
      <c r="D328" s="138"/>
      <c r="E328" s="138"/>
      <c r="F328" s="138"/>
      <c r="J328" s="138"/>
      <c r="K328" s="138"/>
      <c r="L328" s="138"/>
      <c r="M328" s="139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32"/>
      <c r="AE328" s="140"/>
      <c r="AF328" s="140"/>
      <c r="AG328" s="140"/>
      <c r="AH328" s="140"/>
      <c r="AI328" s="140"/>
      <c r="AJ328" s="141"/>
      <c r="AK328" s="140"/>
      <c r="AL328" s="140"/>
      <c r="AM328" s="140"/>
      <c r="AN328" s="140"/>
      <c r="AO328" s="140"/>
      <c r="AP328" s="140"/>
      <c r="AQ328" s="138"/>
      <c r="AR328" s="140"/>
      <c r="AS328" s="140"/>
      <c r="AT328" s="140"/>
      <c r="AU328" s="140"/>
      <c r="AV328" s="138"/>
      <c r="AW328" s="138"/>
      <c r="AX328" s="140"/>
      <c r="AY328" s="140"/>
      <c r="AZ328" s="140"/>
      <c r="BA328" s="140"/>
      <c r="BB328" s="140"/>
      <c r="BC328" s="140"/>
    </row>
    <row r="329" ht="15.75" customHeight="1">
      <c r="C329" s="137"/>
      <c r="D329" s="138"/>
      <c r="E329" s="138"/>
      <c r="F329" s="138"/>
      <c r="J329" s="138"/>
      <c r="K329" s="138"/>
      <c r="L329" s="138"/>
      <c r="M329" s="139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32"/>
      <c r="AE329" s="140"/>
      <c r="AF329" s="140"/>
      <c r="AG329" s="140"/>
      <c r="AH329" s="140"/>
      <c r="AI329" s="140"/>
      <c r="AJ329" s="141"/>
      <c r="AK329" s="140"/>
      <c r="AL329" s="140"/>
      <c r="AM329" s="140"/>
      <c r="AN329" s="140"/>
      <c r="AO329" s="140"/>
      <c r="AP329" s="140"/>
      <c r="AQ329" s="138"/>
      <c r="AR329" s="140"/>
      <c r="AS329" s="140"/>
      <c r="AT329" s="140"/>
      <c r="AU329" s="140"/>
      <c r="AV329" s="138"/>
      <c r="AW329" s="138"/>
      <c r="AX329" s="140"/>
      <c r="AY329" s="140"/>
      <c r="AZ329" s="140"/>
      <c r="BA329" s="140"/>
      <c r="BB329" s="140"/>
      <c r="BC329" s="140"/>
    </row>
    <row r="330" ht="15.75" customHeight="1">
      <c r="C330" s="137"/>
      <c r="D330" s="138"/>
      <c r="E330" s="138"/>
      <c r="F330" s="138"/>
      <c r="J330" s="138"/>
      <c r="K330" s="138"/>
      <c r="L330" s="138"/>
      <c r="M330" s="139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32"/>
      <c r="AE330" s="140"/>
      <c r="AF330" s="140"/>
      <c r="AG330" s="140"/>
      <c r="AH330" s="140"/>
      <c r="AI330" s="140"/>
      <c r="AJ330" s="141"/>
      <c r="AK330" s="140"/>
      <c r="AL330" s="140"/>
      <c r="AM330" s="140"/>
      <c r="AN330" s="140"/>
      <c r="AO330" s="140"/>
      <c r="AP330" s="140"/>
      <c r="AQ330" s="138"/>
      <c r="AR330" s="140"/>
      <c r="AS330" s="140"/>
      <c r="AT330" s="140"/>
      <c r="AU330" s="140"/>
      <c r="AV330" s="138"/>
      <c r="AW330" s="138"/>
      <c r="AX330" s="140"/>
      <c r="AY330" s="140"/>
      <c r="AZ330" s="140"/>
      <c r="BA330" s="140"/>
      <c r="BB330" s="140"/>
      <c r="BC330" s="140"/>
    </row>
    <row r="331" ht="15.75" customHeight="1">
      <c r="C331" s="137"/>
      <c r="D331" s="138"/>
      <c r="E331" s="138"/>
      <c r="F331" s="138"/>
      <c r="J331" s="138"/>
      <c r="K331" s="138"/>
      <c r="L331" s="138"/>
      <c r="M331" s="139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32"/>
      <c r="AE331" s="140"/>
      <c r="AF331" s="140"/>
      <c r="AG331" s="140"/>
      <c r="AH331" s="140"/>
      <c r="AI331" s="140"/>
      <c r="AJ331" s="141"/>
      <c r="AK331" s="140"/>
      <c r="AL331" s="140"/>
      <c r="AM331" s="140"/>
      <c r="AN331" s="140"/>
      <c r="AO331" s="140"/>
      <c r="AP331" s="140"/>
      <c r="AQ331" s="138"/>
      <c r="AR331" s="140"/>
      <c r="AS331" s="140"/>
      <c r="AT331" s="140"/>
      <c r="AU331" s="140"/>
      <c r="AV331" s="138"/>
      <c r="AW331" s="138"/>
      <c r="AX331" s="140"/>
      <c r="AY331" s="140"/>
      <c r="AZ331" s="140"/>
      <c r="BA331" s="140"/>
      <c r="BB331" s="140"/>
      <c r="BC331" s="140"/>
    </row>
    <row r="332" ht="15.75" customHeight="1">
      <c r="C332" s="137"/>
      <c r="D332" s="138"/>
      <c r="E332" s="138"/>
      <c r="F332" s="138"/>
      <c r="J332" s="138"/>
      <c r="K332" s="138"/>
      <c r="L332" s="138"/>
      <c r="M332" s="139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32"/>
      <c r="AE332" s="140"/>
      <c r="AF332" s="140"/>
      <c r="AG332" s="140"/>
      <c r="AH332" s="140"/>
      <c r="AI332" s="140"/>
      <c r="AJ332" s="141"/>
      <c r="AK332" s="140"/>
      <c r="AL332" s="140"/>
      <c r="AM332" s="140"/>
      <c r="AN332" s="140"/>
      <c r="AO332" s="140"/>
      <c r="AP332" s="140"/>
      <c r="AQ332" s="138"/>
      <c r="AR332" s="140"/>
      <c r="AS332" s="140"/>
      <c r="AT332" s="140"/>
      <c r="AU332" s="140"/>
      <c r="AV332" s="138"/>
      <c r="AW332" s="138"/>
      <c r="AX332" s="140"/>
      <c r="AY332" s="140"/>
      <c r="AZ332" s="140"/>
      <c r="BA332" s="140"/>
      <c r="BB332" s="140"/>
      <c r="BC332" s="140"/>
    </row>
    <row r="333" ht="15.75" customHeight="1">
      <c r="C333" s="137"/>
      <c r="D333" s="138"/>
      <c r="E333" s="138"/>
      <c r="F333" s="138"/>
      <c r="J333" s="138"/>
      <c r="K333" s="138"/>
      <c r="L333" s="138"/>
      <c r="M333" s="139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32"/>
      <c r="AE333" s="140"/>
      <c r="AF333" s="140"/>
      <c r="AG333" s="140"/>
      <c r="AH333" s="140"/>
      <c r="AI333" s="140"/>
      <c r="AJ333" s="141"/>
      <c r="AK333" s="140"/>
      <c r="AL333" s="140"/>
      <c r="AM333" s="140"/>
      <c r="AN333" s="140"/>
      <c r="AO333" s="140"/>
      <c r="AP333" s="140"/>
      <c r="AQ333" s="138"/>
      <c r="AR333" s="140"/>
      <c r="AS333" s="140"/>
      <c r="AT333" s="140"/>
      <c r="AU333" s="140"/>
      <c r="AV333" s="138"/>
      <c r="AW333" s="138"/>
      <c r="AX333" s="140"/>
      <c r="AY333" s="140"/>
      <c r="AZ333" s="140"/>
      <c r="BA333" s="140"/>
      <c r="BB333" s="140"/>
      <c r="BC333" s="140"/>
    </row>
    <row r="334" ht="15.75" customHeight="1">
      <c r="C334" s="137"/>
      <c r="D334" s="138"/>
      <c r="E334" s="138"/>
      <c r="F334" s="138"/>
      <c r="J334" s="138"/>
      <c r="K334" s="138"/>
      <c r="L334" s="138"/>
      <c r="M334" s="139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32"/>
      <c r="AE334" s="140"/>
      <c r="AF334" s="140"/>
      <c r="AG334" s="140"/>
      <c r="AH334" s="140"/>
      <c r="AI334" s="140"/>
      <c r="AJ334" s="141"/>
      <c r="AK334" s="140"/>
      <c r="AL334" s="140"/>
      <c r="AM334" s="140"/>
      <c r="AN334" s="140"/>
      <c r="AO334" s="140"/>
      <c r="AP334" s="140"/>
      <c r="AQ334" s="138"/>
      <c r="AR334" s="140"/>
      <c r="AS334" s="140"/>
      <c r="AT334" s="140"/>
      <c r="AU334" s="140"/>
      <c r="AV334" s="138"/>
      <c r="AW334" s="138"/>
      <c r="AX334" s="140"/>
      <c r="AY334" s="140"/>
      <c r="AZ334" s="140"/>
      <c r="BA334" s="140"/>
      <c r="BB334" s="140"/>
      <c r="BC334" s="140"/>
    </row>
    <row r="335" ht="15.75" customHeight="1">
      <c r="C335" s="137"/>
      <c r="D335" s="138"/>
      <c r="E335" s="138"/>
      <c r="F335" s="138"/>
      <c r="J335" s="138"/>
      <c r="K335" s="138"/>
      <c r="L335" s="138"/>
      <c r="M335" s="139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32"/>
      <c r="AE335" s="140"/>
      <c r="AF335" s="140"/>
      <c r="AG335" s="140"/>
      <c r="AH335" s="140"/>
      <c r="AI335" s="140"/>
      <c r="AJ335" s="141"/>
      <c r="AK335" s="140"/>
      <c r="AL335" s="140"/>
      <c r="AM335" s="140"/>
      <c r="AN335" s="140"/>
      <c r="AO335" s="140"/>
      <c r="AP335" s="140"/>
      <c r="AQ335" s="138"/>
      <c r="AR335" s="140"/>
      <c r="AS335" s="140"/>
      <c r="AT335" s="140"/>
      <c r="AU335" s="140"/>
      <c r="AV335" s="138"/>
      <c r="AW335" s="138"/>
      <c r="AX335" s="140"/>
      <c r="AY335" s="140"/>
      <c r="AZ335" s="140"/>
      <c r="BA335" s="140"/>
      <c r="BB335" s="140"/>
      <c r="BC335" s="140"/>
    </row>
    <row r="336" ht="15.75" customHeight="1">
      <c r="C336" s="137"/>
      <c r="D336" s="138"/>
      <c r="E336" s="138"/>
      <c r="F336" s="138"/>
      <c r="J336" s="138"/>
      <c r="K336" s="138"/>
      <c r="L336" s="138"/>
      <c r="M336" s="139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32"/>
      <c r="AE336" s="140"/>
      <c r="AF336" s="140"/>
      <c r="AG336" s="140"/>
      <c r="AH336" s="140"/>
      <c r="AI336" s="140"/>
      <c r="AJ336" s="141"/>
      <c r="AK336" s="140"/>
      <c r="AL336" s="140"/>
      <c r="AM336" s="140"/>
      <c r="AN336" s="140"/>
      <c r="AO336" s="140"/>
      <c r="AP336" s="140"/>
      <c r="AQ336" s="138"/>
      <c r="AR336" s="140"/>
      <c r="AS336" s="140"/>
      <c r="AT336" s="140"/>
      <c r="AU336" s="140"/>
      <c r="AV336" s="138"/>
      <c r="AW336" s="138"/>
      <c r="AX336" s="140"/>
      <c r="AY336" s="140"/>
      <c r="AZ336" s="140"/>
      <c r="BA336" s="140"/>
      <c r="BB336" s="140"/>
      <c r="BC336" s="140"/>
    </row>
    <row r="337" ht="15.75" customHeight="1">
      <c r="C337" s="137"/>
      <c r="D337" s="138"/>
      <c r="E337" s="138"/>
      <c r="F337" s="138"/>
      <c r="J337" s="138"/>
      <c r="K337" s="138"/>
      <c r="L337" s="138"/>
      <c r="M337" s="139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32"/>
      <c r="AE337" s="140"/>
      <c r="AF337" s="140"/>
      <c r="AG337" s="140"/>
      <c r="AH337" s="140"/>
      <c r="AI337" s="140"/>
      <c r="AJ337" s="141"/>
      <c r="AK337" s="140"/>
      <c r="AL337" s="140"/>
      <c r="AM337" s="140"/>
      <c r="AN337" s="140"/>
      <c r="AO337" s="140"/>
      <c r="AP337" s="140"/>
      <c r="AQ337" s="138"/>
      <c r="AR337" s="140"/>
      <c r="AS337" s="140"/>
      <c r="AT337" s="140"/>
      <c r="AU337" s="140"/>
      <c r="AV337" s="138"/>
      <c r="AW337" s="138"/>
      <c r="AX337" s="140"/>
      <c r="AY337" s="140"/>
      <c r="AZ337" s="140"/>
      <c r="BA337" s="140"/>
      <c r="BB337" s="140"/>
      <c r="BC337" s="140"/>
    </row>
    <row r="338" ht="15.75" customHeight="1">
      <c r="C338" s="137"/>
      <c r="D338" s="138"/>
      <c r="E338" s="138"/>
      <c r="F338" s="138"/>
      <c r="J338" s="138"/>
      <c r="K338" s="138"/>
      <c r="L338" s="138"/>
      <c r="M338" s="139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32"/>
      <c r="AE338" s="140"/>
      <c r="AF338" s="140"/>
      <c r="AG338" s="140"/>
      <c r="AH338" s="140"/>
      <c r="AI338" s="140"/>
      <c r="AJ338" s="141"/>
      <c r="AK338" s="140"/>
      <c r="AL338" s="140"/>
      <c r="AM338" s="140"/>
      <c r="AN338" s="140"/>
      <c r="AO338" s="140"/>
      <c r="AP338" s="140"/>
      <c r="AQ338" s="138"/>
      <c r="AR338" s="140"/>
      <c r="AS338" s="140"/>
      <c r="AT338" s="140"/>
      <c r="AU338" s="140"/>
      <c r="AV338" s="138"/>
      <c r="AW338" s="138"/>
      <c r="AX338" s="140"/>
      <c r="AY338" s="140"/>
      <c r="AZ338" s="140"/>
      <c r="BA338" s="140"/>
      <c r="BB338" s="140"/>
      <c r="BC338" s="140"/>
    </row>
    <row r="339" ht="15.75" customHeight="1">
      <c r="C339" s="137"/>
      <c r="D339" s="138"/>
      <c r="E339" s="138"/>
      <c r="F339" s="138"/>
      <c r="J339" s="138"/>
      <c r="K339" s="138"/>
      <c r="L339" s="138"/>
      <c r="M339" s="139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32"/>
      <c r="AE339" s="140"/>
      <c r="AF339" s="140"/>
      <c r="AG339" s="140"/>
      <c r="AH339" s="140"/>
      <c r="AI339" s="140"/>
      <c r="AJ339" s="141"/>
      <c r="AK339" s="140"/>
      <c r="AL339" s="140"/>
      <c r="AM339" s="140"/>
      <c r="AN339" s="140"/>
      <c r="AO339" s="140"/>
      <c r="AP339" s="140"/>
      <c r="AQ339" s="138"/>
      <c r="AR339" s="140"/>
      <c r="AS339" s="140"/>
      <c r="AT339" s="140"/>
      <c r="AU339" s="140"/>
      <c r="AV339" s="138"/>
      <c r="AW339" s="138"/>
      <c r="AX339" s="140"/>
      <c r="AY339" s="140"/>
      <c r="AZ339" s="140"/>
      <c r="BA339" s="140"/>
      <c r="BB339" s="140"/>
      <c r="BC339" s="140"/>
    </row>
    <row r="340" ht="15.75" customHeight="1">
      <c r="C340" s="137"/>
      <c r="D340" s="138"/>
      <c r="E340" s="138"/>
      <c r="F340" s="138"/>
      <c r="J340" s="138"/>
      <c r="K340" s="138"/>
      <c r="L340" s="138"/>
      <c r="M340" s="139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32"/>
      <c r="AE340" s="140"/>
      <c r="AF340" s="140"/>
      <c r="AG340" s="140"/>
      <c r="AH340" s="140"/>
      <c r="AI340" s="140"/>
      <c r="AJ340" s="141"/>
      <c r="AK340" s="140"/>
      <c r="AL340" s="140"/>
      <c r="AM340" s="140"/>
      <c r="AN340" s="140"/>
      <c r="AO340" s="140"/>
      <c r="AP340" s="140"/>
      <c r="AQ340" s="138"/>
      <c r="AR340" s="140"/>
      <c r="AS340" s="140"/>
      <c r="AT340" s="140"/>
      <c r="AU340" s="140"/>
      <c r="AV340" s="138"/>
      <c r="AW340" s="138"/>
      <c r="AX340" s="140"/>
      <c r="AY340" s="140"/>
      <c r="AZ340" s="140"/>
      <c r="BA340" s="140"/>
      <c r="BB340" s="140"/>
      <c r="BC340" s="140"/>
    </row>
    <row r="341" ht="15.75" customHeight="1">
      <c r="C341" s="137"/>
      <c r="D341" s="138"/>
      <c r="E341" s="138"/>
      <c r="F341" s="138"/>
      <c r="J341" s="138"/>
      <c r="K341" s="138"/>
      <c r="L341" s="138"/>
      <c r="M341" s="139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32"/>
      <c r="AE341" s="140"/>
      <c r="AF341" s="140"/>
      <c r="AG341" s="140"/>
      <c r="AH341" s="140"/>
      <c r="AI341" s="140"/>
      <c r="AJ341" s="141"/>
      <c r="AK341" s="140"/>
      <c r="AL341" s="140"/>
      <c r="AM341" s="140"/>
      <c r="AN341" s="140"/>
      <c r="AO341" s="140"/>
      <c r="AP341" s="140"/>
      <c r="AQ341" s="138"/>
      <c r="AR341" s="140"/>
      <c r="AS341" s="140"/>
      <c r="AT341" s="140"/>
      <c r="AU341" s="140"/>
      <c r="AV341" s="138"/>
      <c r="AW341" s="138"/>
      <c r="AX341" s="140"/>
      <c r="AY341" s="140"/>
      <c r="AZ341" s="140"/>
      <c r="BA341" s="140"/>
      <c r="BB341" s="140"/>
      <c r="BC341" s="140"/>
    </row>
    <row r="342" ht="15.75" customHeight="1">
      <c r="C342" s="137"/>
      <c r="D342" s="138"/>
      <c r="E342" s="138"/>
      <c r="F342" s="138"/>
      <c r="J342" s="138"/>
      <c r="K342" s="138"/>
      <c r="L342" s="138"/>
      <c r="M342" s="139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32"/>
      <c r="AE342" s="140"/>
      <c r="AF342" s="140"/>
      <c r="AG342" s="140"/>
      <c r="AH342" s="140"/>
      <c r="AI342" s="140"/>
      <c r="AJ342" s="141"/>
      <c r="AK342" s="140"/>
      <c r="AL342" s="140"/>
      <c r="AM342" s="140"/>
      <c r="AN342" s="140"/>
      <c r="AO342" s="140"/>
      <c r="AP342" s="140"/>
      <c r="AQ342" s="138"/>
      <c r="AR342" s="140"/>
      <c r="AS342" s="140"/>
      <c r="AT342" s="140"/>
      <c r="AU342" s="140"/>
      <c r="AV342" s="138"/>
      <c r="AW342" s="138"/>
      <c r="AX342" s="140"/>
      <c r="AY342" s="140"/>
      <c r="AZ342" s="140"/>
      <c r="BA342" s="140"/>
      <c r="BB342" s="140"/>
      <c r="BC342" s="140"/>
    </row>
    <row r="343" ht="15.75" customHeight="1">
      <c r="C343" s="137"/>
      <c r="D343" s="138"/>
      <c r="E343" s="138"/>
      <c r="F343" s="138"/>
      <c r="J343" s="138"/>
      <c r="K343" s="138"/>
      <c r="L343" s="138"/>
      <c r="M343" s="139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32"/>
      <c r="AE343" s="140"/>
      <c r="AF343" s="140"/>
      <c r="AG343" s="140"/>
      <c r="AH343" s="140"/>
      <c r="AI343" s="140"/>
      <c r="AJ343" s="141"/>
      <c r="AK343" s="140"/>
      <c r="AL343" s="140"/>
      <c r="AM343" s="140"/>
      <c r="AN343" s="140"/>
      <c r="AO343" s="140"/>
      <c r="AP343" s="140"/>
      <c r="AQ343" s="138"/>
      <c r="AR343" s="140"/>
      <c r="AS343" s="140"/>
      <c r="AT343" s="140"/>
      <c r="AU343" s="140"/>
      <c r="AV343" s="138"/>
      <c r="AW343" s="138"/>
      <c r="AX343" s="140"/>
      <c r="AY343" s="140"/>
      <c r="AZ343" s="140"/>
      <c r="BA343" s="140"/>
      <c r="BB343" s="140"/>
      <c r="BC343" s="140"/>
    </row>
    <row r="344" ht="15.75" customHeight="1">
      <c r="C344" s="137"/>
      <c r="D344" s="138"/>
      <c r="E344" s="138"/>
      <c r="F344" s="138"/>
      <c r="J344" s="138"/>
      <c r="K344" s="138"/>
      <c r="L344" s="138"/>
      <c r="M344" s="139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32"/>
      <c r="AE344" s="140"/>
      <c r="AF344" s="140"/>
      <c r="AG344" s="140"/>
      <c r="AH344" s="140"/>
      <c r="AI344" s="140"/>
      <c r="AJ344" s="141"/>
      <c r="AK344" s="140"/>
      <c r="AL344" s="140"/>
      <c r="AM344" s="140"/>
      <c r="AN344" s="140"/>
      <c r="AO344" s="140"/>
      <c r="AP344" s="140"/>
      <c r="AQ344" s="138"/>
      <c r="AR344" s="140"/>
      <c r="AS344" s="140"/>
      <c r="AT344" s="140"/>
      <c r="AU344" s="140"/>
      <c r="AV344" s="138"/>
      <c r="AW344" s="138"/>
      <c r="AX344" s="140"/>
      <c r="AY344" s="140"/>
      <c r="AZ344" s="140"/>
      <c r="BA344" s="140"/>
      <c r="BB344" s="140"/>
      <c r="BC344" s="140"/>
    </row>
    <row r="345" ht="15.75" customHeight="1">
      <c r="C345" s="137"/>
      <c r="D345" s="138"/>
      <c r="E345" s="138"/>
      <c r="F345" s="138"/>
      <c r="J345" s="138"/>
      <c r="K345" s="138"/>
      <c r="L345" s="138"/>
      <c r="M345" s="139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32"/>
      <c r="AE345" s="140"/>
      <c r="AF345" s="140"/>
      <c r="AG345" s="140"/>
      <c r="AH345" s="140"/>
      <c r="AI345" s="140"/>
      <c r="AJ345" s="141"/>
      <c r="AK345" s="140"/>
      <c r="AL345" s="140"/>
      <c r="AM345" s="140"/>
      <c r="AN345" s="140"/>
      <c r="AO345" s="140"/>
      <c r="AP345" s="140"/>
      <c r="AQ345" s="138"/>
      <c r="AR345" s="140"/>
      <c r="AS345" s="140"/>
      <c r="AT345" s="140"/>
      <c r="AU345" s="140"/>
      <c r="AV345" s="138"/>
      <c r="AW345" s="138"/>
      <c r="AX345" s="140"/>
      <c r="AY345" s="140"/>
      <c r="AZ345" s="140"/>
      <c r="BA345" s="140"/>
      <c r="BB345" s="140"/>
      <c r="BC345" s="140"/>
    </row>
    <row r="346" ht="15.75" customHeight="1">
      <c r="C346" s="137"/>
      <c r="D346" s="138"/>
      <c r="E346" s="138"/>
      <c r="F346" s="138"/>
      <c r="J346" s="138"/>
      <c r="K346" s="138"/>
      <c r="L346" s="138"/>
      <c r="M346" s="139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32"/>
      <c r="AE346" s="140"/>
      <c r="AF346" s="140"/>
      <c r="AG346" s="140"/>
      <c r="AH346" s="140"/>
      <c r="AI346" s="140"/>
      <c r="AJ346" s="141"/>
      <c r="AK346" s="140"/>
      <c r="AL346" s="140"/>
      <c r="AM346" s="140"/>
      <c r="AN346" s="140"/>
      <c r="AO346" s="140"/>
      <c r="AP346" s="140"/>
      <c r="AQ346" s="138"/>
      <c r="AR346" s="140"/>
      <c r="AS346" s="140"/>
      <c r="AT346" s="140"/>
      <c r="AU346" s="140"/>
      <c r="AV346" s="138"/>
      <c r="AW346" s="138"/>
      <c r="AX346" s="140"/>
      <c r="AY346" s="140"/>
      <c r="AZ346" s="140"/>
      <c r="BA346" s="140"/>
      <c r="BB346" s="140"/>
      <c r="BC346" s="140"/>
    </row>
    <row r="347" ht="15.75" customHeight="1">
      <c r="C347" s="137"/>
      <c r="D347" s="138"/>
      <c r="E347" s="138"/>
      <c r="F347" s="138"/>
      <c r="J347" s="138"/>
      <c r="K347" s="138"/>
      <c r="L347" s="138"/>
      <c r="M347" s="139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32"/>
      <c r="AE347" s="140"/>
      <c r="AF347" s="140"/>
      <c r="AG347" s="140"/>
      <c r="AH347" s="140"/>
      <c r="AI347" s="140"/>
      <c r="AJ347" s="141"/>
      <c r="AK347" s="140"/>
      <c r="AL347" s="140"/>
      <c r="AM347" s="140"/>
      <c r="AN347" s="140"/>
      <c r="AO347" s="140"/>
      <c r="AP347" s="140"/>
      <c r="AQ347" s="138"/>
      <c r="AR347" s="140"/>
      <c r="AS347" s="140"/>
      <c r="AT347" s="140"/>
      <c r="AU347" s="140"/>
      <c r="AV347" s="138"/>
      <c r="AW347" s="138"/>
      <c r="AX347" s="140"/>
      <c r="AY347" s="140"/>
      <c r="AZ347" s="140"/>
      <c r="BA347" s="140"/>
      <c r="BB347" s="140"/>
      <c r="BC347" s="140"/>
    </row>
    <row r="348" ht="15.75" customHeight="1">
      <c r="C348" s="137"/>
      <c r="D348" s="138"/>
      <c r="E348" s="138"/>
      <c r="F348" s="138"/>
      <c r="J348" s="138"/>
      <c r="K348" s="138"/>
      <c r="L348" s="138"/>
      <c r="M348" s="139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32"/>
      <c r="AE348" s="140"/>
      <c r="AF348" s="140"/>
      <c r="AG348" s="140"/>
      <c r="AH348" s="140"/>
      <c r="AI348" s="140"/>
      <c r="AJ348" s="141"/>
      <c r="AK348" s="140"/>
      <c r="AL348" s="140"/>
      <c r="AM348" s="140"/>
      <c r="AN348" s="140"/>
      <c r="AO348" s="140"/>
      <c r="AP348" s="140"/>
      <c r="AQ348" s="138"/>
      <c r="AR348" s="140"/>
      <c r="AS348" s="140"/>
      <c r="AT348" s="140"/>
      <c r="AU348" s="140"/>
      <c r="AV348" s="138"/>
      <c r="AW348" s="138"/>
      <c r="AX348" s="140"/>
      <c r="AY348" s="140"/>
      <c r="AZ348" s="140"/>
      <c r="BA348" s="140"/>
      <c r="BB348" s="140"/>
      <c r="BC348" s="140"/>
    </row>
    <row r="349" ht="15.75" customHeight="1">
      <c r="C349" s="137"/>
      <c r="D349" s="138"/>
      <c r="E349" s="138"/>
      <c r="F349" s="138"/>
      <c r="J349" s="138"/>
      <c r="K349" s="138"/>
      <c r="L349" s="138"/>
      <c r="M349" s="139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32"/>
      <c r="AE349" s="140"/>
      <c r="AF349" s="140"/>
      <c r="AG349" s="140"/>
      <c r="AH349" s="140"/>
      <c r="AI349" s="140"/>
      <c r="AJ349" s="141"/>
      <c r="AK349" s="140"/>
      <c r="AL349" s="140"/>
      <c r="AM349" s="140"/>
      <c r="AN349" s="140"/>
      <c r="AO349" s="140"/>
      <c r="AP349" s="140"/>
      <c r="AQ349" s="138"/>
      <c r="AR349" s="140"/>
      <c r="AS349" s="140"/>
      <c r="AT349" s="140"/>
      <c r="AU349" s="140"/>
      <c r="AV349" s="138"/>
      <c r="AW349" s="138"/>
      <c r="AX349" s="140"/>
      <c r="AY349" s="140"/>
      <c r="AZ349" s="140"/>
      <c r="BA349" s="140"/>
      <c r="BB349" s="140"/>
      <c r="BC349" s="140"/>
    </row>
    <row r="350" ht="15.75" customHeight="1">
      <c r="C350" s="137"/>
      <c r="D350" s="138"/>
      <c r="E350" s="138"/>
      <c r="F350" s="138"/>
      <c r="J350" s="138"/>
      <c r="K350" s="138"/>
      <c r="L350" s="138"/>
      <c r="M350" s="139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32"/>
      <c r="AE350" s="140"/>
      <c r="AF350" s="140"/>
      <c r="AG350" s="140"/>
      <c r="AH350" s="140"/>
      <c r="AI350" s="140"/>
      <c r="AJ350" s="141"/>
      <c r="AK350" s="140"/>
      <c r="AL350" s="140"/>
      <c r="AM350" s="140"/>
      <c r="AN350" s="140"/>
      <c r="AO350" s="140"/>
      <c r="AP350" s="140"/>
      <c r="AQ350" s="138"/>
      <c r="AR350" s="140"/>
      <c r="AS350" s="140"/>
      <c r="AT350" s="140"/>
      <c r="AU350" s="140"/>
      <c r="AV350" s="138"/>
      <c r="AW350" s="138"/>
      <c r="AX350" s="140"/>
      <c r="AY350" s="140"/>
      <c r="AZ350" s="140"/>
      <c r="BA350" s="140"/>
      <c r="BB350" s="140"/>
      <c r="BC350" s="140"/>
    </row>
    <row r="351" ht="15.75" customHeight="1">
      <c r="C351" s="137"/>
      <c r="D351" s="138"/>
      <c r="E351" s="138"/>
      <c r="F351" s="138"/>
      <c r="J351" s="138"/>
      <c r="K351" s="138"/>
      <c r="L351" s="138"/>
      <c r="M351" s="139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32"/>
      <c r="AE351" s="140"/>
      <c r="AF351" s="140"/>
      <c r="AG351" s="140"/>
      <c r="AH351" s="140"/>
      <c r="AI351" s="140"/>
      <c r="AJ351" s="141"/>
      <c r="AK351" s="140"/>
      <c r="AL351" s="140"/>
      <c r="AM351" s="140"/>
      <c r="AN351" s="140"/>
      <c r="AO351" s="140"/>
      <c r="AP351" s="140"/>
      <c r="AQ351" s="138"/>
      <c r="AR351" s="140"/>
      <c r="AS351" s="140"/>
      <c r="AT351" s="140"/>
      <c r="AU351" s="140"/>
      <c r="AV351" s="138"/>
      <c r="AW351" s="138"/>
      <c r="AX351" s="140"/>
      <c r="AY351" s="140"/>
      <c r="AZ351" s="140"/>
      <c r="BA351" s="140"/>
      <c r="BB351" s="140"/>
      <c r="BC351" s="140"/>
    </row>
    <row r="352" ht="15.75" customHeight="1">
      <c r="C352" s="137"/>
      <c r="D352" s="138"/>
      <c r="E352" s="138"/>
      <c r="F352" s="138"/>
      <c r="J352" s="138"/>
      <c r="K352" s="138"/>
      <c r="L352" s="138"/>
      <c r="M352" s="139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32"/>
      <c r="AE352" s="140"/>
      <c r="AF352" s="140"/>
      <c r="AG352" s="140"/>
      <c r="AH352" s="140"/>
      <c r="AI352" s="140"/>
      <c r="AJ352" s="141"/>
      <c r="AK352" s="140"/>
      <c r="AL352" s="140"/>
      <c r="AM352" s="140"/>
      <c r="AN352" s="140"/>
      <c r="AO352" s="140"/>
      <c r="AP352" s="140"/>
      <c r="AQ352" s="138"/>
      <c r="AR352" s="140"/>
      <c r="AS352" s="140"/>
      <c r="AT352" s="140"/>
      <c r="AU352" s="140"/>
      <c r="AV352" s="138"/>
      <c r="AW352" s="138"/>
      <c r="AX352" s="140"/>
      <c r="AY352" s="140"/>
      <c r="AZ352" s="140"/>
      <c r="BA352" s="140"/>
      <c r="BB352" s="140"/>
      <c r="BC352" s="140"/>
    </row>
    <row r="353" ht="15.75" customHeight="1">
      <c r="C353" s="137"/>
      <c r="D353" s="138"/>
      <c r="E353" s="138"/>
      <c r="F353" s="138"/>
      <c r="J353" s="138"/>
      <c r="K353" s="138"/>
      <c r="L353" s="138"/>
      <c r="M353" s="139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32"/>
      <c r="AE353" s="140"/>
      <c r="AF353" s="140"/>
      <c r="AG353" s="140"/>
      <c r="AH353" s="140"/>
      <c r="AI353" s="140"/>
      <c r="AJ353" s="141"/>
      <c r="AK353" s="140"/>
      <c r="AL353" s="140"/>
      <c r="AM353" s="140"/>
      <c r="AN353" s="140"/>
      <c r="AO353" s="140"/>
      <c r="AP353" s="140"/>
      <c r="AQ353" s="138"/>
      <c r="AR353" s="140"/>
      <c r="AS353" s="140"/>
      <c r="AT353" s="140"/>
      <c r="AU353" s="140"/>
      <c r="AV353" s="138"/>
      <c r="AW353" s="138"/>
      <c r="AX353" s="140"/>
      <c r="AY353" s="140"/>
      <c r="AZ353" s="140"/>
      <c r="BA353" s="140"/>
      <c r="BB353" s="140"/>
      <c r="BC353" s="140"/>
    </row>
    <row r="354" ht="15.75" customHeight="1">
      <c r="C354" s="137"/>
      <c r="D354" s="138"/>
      <c r="E354" s="138"/>
      <c r="F354" s="138"/>
      <c r="J354" s="138"/>
      <c r="K354" s="138"/>
      <c r="L354" s="138"/>
      <c r="M354" s="139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32"/>
      <c r="AE354" s="140"/>
      <c r="AF354" s="140"/>
      <c r="AG354" s="140"/>
      <c r="AH354" s="140"/>
      <c r="AI354" s="140"/>
      <c r="AJ354" s="141"/>
      <c r="AK354" s="140"/>
      <c r="AL354" s="140"/>
      <c r="AM354" s="140"/>
      <c r="AN354" s="140"/>
      <c r="AO354" s="140"/>
      <c r="AP354" s="140"/>
      <c r="AQ354" s="138"/>
      <c r="AR354" s="140"/>
      <c r="AS354" s="140"/>
      <c r="AT354" s="140"/>
      <c r="AU354" s="140"/>
      <c r="AV354" s="138"/>
      <c r="AW354" s="138"/>
      <c r="AX354" s="140"/>
      <c r="AY354" s="140"/>
      <c r="AZ354" s="140"/>
      <c r="BA354" s="140"/>
      <c r="BB354" s="140"/>
      <c r="BC354" s="140"/>
    </row>
    <row r="355" ht="15.75" customHeight="1">
      <c r="C355" s="137"/>
      <c r="D355" s="138"/>
      <c r="E355" s="138"/>
      <c r="F355" s="138"/>
      <c r="J355" s="138"/>
      <c r="K355" s="138"/>
      <c r="L355" s="138"/>
      <c r="M355" s="139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32"/>
      <c r="AE355" s="140"/>
      <c r="AF355" s="140"/>
      <c r="AG355" s="140"/>
      <c r="AH355" s="140"/>
      <c r="AI355" s="140"/>
      <c r="AJ355" s="141"/>
      <c r="AK355" s="140"/>
      <c r="AL355" s="140"/>
      <c r="AM355" s="140"/>
      <c r="AN355" s="140"/>
      <c r="AO355" s="140"/>
      <c r="AP355" s="140"/>
      <c r="AQ355" s="138"/>
      <c r="AR355" s="140"/>
      <c r="AS355" s="140"/>
      <c r="AT355" s="140"/>
      <c r="AU355" s="140"/>
      <c r="AV355" s="138"/>
      <c r="AW355" s="138"/>
      <c r="AX355" s="140"/>
      <c r="AY355" s="140"/>
      <c r="AZ355" s="140"/>
      <c r="BA355" s="140"/>
      <c r="BB355" s="140"/>
      <c r="BC355" s="140"/>
    </row>
    <row r="356" ht="15.75" customHeight="1">
      <c r="C356" s="137"/>
      <c r="D356" s="138"/>
      <c r="E356" s="138"/>
      <c r="F356" s="138"/>
      <c r="J356" s="138"/>
      <c r="K356" s="138"/>
      <c r="L356" s="138"/>
      <c r="M356" s="139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32"/>
      <c r="AE356" s="140"/>
      <c r="AF356" s="140"/>
      <c r="AG356" s="140"/>
      <c r="AH356" s="140"/>
      <c r="AI356" s="140"/>
      <c r="AJ356" s="141"/>
      <c r="AK356" s="140"/>
      <c r="AL356" s="140"/>
      <c r="AM356" s="140"/>
      <c r="AN356" s="140"/>
      <c r="AO356" s="140"/>
      <c r="AP356" s="140"/>
      <c r="AQ356" s="138"/>
      <c r="AR356" s="140"/>
      <c r="AS356" s="140"/>
      <c r="AT356" s="140"/>
      <c r="AU356" s="140"/>
      <c r="AV356" s="138"/>
      <c r="AW356" s="138"/>
      <c r="AX356" s="140"/>
      <c r="AY356" s="140"/>
      <c r="AZ356" s="140"/>
      <c r="BA356" s="140"/>
      <c r="BB356" s="140"/>
      <c r="BC356" s="140"/>
    </row>
    <row r="357" ht="15.75" customHeight="1">
      <c r="C357" s="137"/>
      <c r="D357" s="138"/>
      <c r="E357" s="138"/>
      <c r="F357" s="138"/>
      <c r="J357" s="138"/>
      <c r="K357" s="138"/>
      <c r="L357" s="138"/>
      <c r="M357" s="139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32"/>
      <c r="AE357" s="140"/>
      <c r="AF357" s="140"/>
      <c r="AG357" s="140"/>
      <c r="AH357" s="140"/>
      <c r="AI357" s="140"/>
      <c r="AJ357" s="141"/>
      <c r="AK357" s="140"/>
      <c r="AL357" s="140"/>
      <c r="AM357" s="140"/>
      <c r="AN357" s="140"/>
      <c r="AO357" s="140"/>
      <c r="AP357" s="140"/>
      <c r="AQ357" s="138"/>
      <c r="AR357" s="140"/>
      <c r="AS357" s="140"/>
      <c r="AT357" s="140"/>
      <c r="AU357" s="140"/>
      <c r="AV357" s="138"/>
      <c r="AW357" s="138"/>
      <c r="AX357" s="140"/>
      <c r="AY357" s="140"/>
      <c r="AZ357" s="140"/>
      <c r="BA357" s="140"/>
      <c r="BB357" s="140"/>
      <c r="BC357" s="140"/>
    </row>
    <row r="358" ht="15.75" customHeight="1">
      <c r="C358" s="137"/>
      <c r="D358" s="138"/>
      <c r="E358" s="138"/>
      <c r="F358" s="138"/>
      <c r="J358" s="138"/>
      <c r="K358" s="138"/>
      <c r="L358" s="138"/>
      <c r="M358" s="139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32"/>
      <c r="AE358" s="140"/>
      <c r="AF358" s="140"/>
      <c r="AG358" s="140"/>
      <c r="AH358" s="140"/>
      <c r="AI358" s="140"/>
      <c r="AJ358" s="141"/>
      <c r="AK358" s="140"/>
      <c r="AL358" s="140"/>
      <c r="AM358" s="140"/>
      <c r="AN358" s="140"/>
      <c r="AO358" s="140"/>
      <c r="AP358" s="140"/>
      <c r="AQ358" s="138"/>
      <c r="AR358" s="140"/>
      <c r="AS358" s="140"/>
      <c r="AT358" s="140"/>
      <c r="AU358" s="140"/>
      <c r="AV358" s="138"/>
      <c r="AW358" s="138"/>
      <c r="AX358" s="140"/>
      <c r="AY358" s="140"/>
      <c r="AZ358" s="140"/>
      <c r="BA358" s="140"/>
      <c r="BB358" s="140"/>
      <c r="BC358" s="140"/>
    </row>
    <row r="359" ht="15.75" customHeight="1">
      <c r="C359" s="137"/>
      <c r="D359" s="138"/>
      <c r="E359" s="138"/>
      <c r="F359" s="138"/>
      <c r="J359" s="138"/>
      <c r="K359" s="138"/>
      <c r="L359" s="138"/>
      <c r="M359" s="139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32"/>
      <c r="AE359" s="140"/>
      <c r="AF359" s="140"/>
      <c r="AG359" s="140"/>
      <c r="AH359" s="140"/>
      <c r="AI359" s="140"/>
      <c r="AJ359" s="141"/>
      <c r="AK359" s="140"/>
      <c r="AL359" s="140"/>
      <c r="AM359" s="140"/>
      <c r="AN359" s="140"/>
      <c r="AO359" s="140"/>
      <c r="AP359" s="140"/>
      <c r="AQ359" s="138"/>
      <c r="AR359" s="140"/>
      <c r="AS359" s="140"/>
      <c r="AT359" s="140"/>
      <c r="AU359" s="140"/>
      <c r="AV359" s="138"/>
      <c r="AW359" s="138"/>
      <c r="AX359" s="140"/>
      <c r="AY359" s="140"/>
      <c r="AZ359" s="140"/>
      <c r="BA359" s="140"/>
      <c r="BB359" s="140"/>
      <c r="BC359" s="140"/>
    </row>
    <row r="360" ht="15.75" customHeight="1">
      <c r="C360" s="137"/>
      <c r="D360" s="138"/>
      <c r="E360" s="138"/>
      <c r="F360" s="138"/>
      <c r="J360" s="138"/>
      <c r="K360" s="138"/>
      <c r="L360" s="138"/>
      <c r="M360" s="139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32"/>
      <c r="AE360" s="140"/>
      <c r="AF360" s="140"/>
      <c r="AG360" s="140"/>
      <c r="AH360" s="140"/>
      <c r="AI360" s="140"/>
      <c r="AJ360" s="141"/>
      <c r="AK360" s="140"/>
      <c r="AL360" s="140"/>
      <c r="AM360" s="140"/>
      <c r="AN360" s="140"/>
      <c r="AO360" s="140"/>
      <c r="AP360" s="140"/>
      <c r="AQ360" s="138"/>
      <c r="AR360" s="140"/>
      <c r="AS360" s="140"/>
      <c r="AT360" s="140"/>
      <c r="AU360" s="140"/>
      <c r="AV360" s="138"/>
      <c r="AW360" s="138"/>
      <c r="AX360" s="140"/>
      <c r="AY360" s="140"/>
      <c r="AZ360" s="140"/>
      <c r="BA360" s="140"/>
      <c r="BB360" s="140"/>
      <c r="BC360" s="140"/>
    </row>
    <row r="361" ht="15.75" customHeight="1">
      <c r="C361" s="137"/>
      <c r="D361" s="138"/>
      <c r="E361" s="138"/>
      <c r="F361" s="138"/>
      <c r="J361" s="138"/>
      <c r="K361" s="138"/>
      <c r="L361" s="138"/>
      <c r="M361" s="139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32"/>
      <c r="AE361" s="140"/>
      <c r="AF361" s="140"/>
      <c r="AG361" s="140"/>
      <c r="AH361" s="140"/>
      <c r="AI361" s="140"/>
      <c r="AJ361" s="141"/>
      <c r="AK361" s="140"/>
      <c r="AL361" s="140"/>
      <c r="AM361" s="140"/>
      <c r="AN361" s="140"/>
      <c r="AO361" s="140"/>
      <c r="AP361" s="140"/>
      <c r="AQ361" s="138"/>
      <c r="AR361" s="140"/>
      <c r="AS361" s="140"/>
      <c r="AT361" s="140"/>
      <c r="AU361" s="140"/>
      <c r="AV361" s="138"/>
      <c r="AW361" s="138"/>
      <c r="AX361" s="140"/>
      <c r="AY361" s="140"/>
      <c r="AZ361" s="140"/>
      <c r="BA361" s="140"/>
      <c r="BB361" s="140"/>
      <c r="BC361" s="140"/>
    </row>
    <row r="362" ht="15.75" customHeight="1">
      <c r="C362" s="137"/>
      <c r="D362" s="138"/>
      <c r="E362" s="138"/>
      <c r="F362" s="138"/>
      <c r="J362" s="138"/>
      <c r="K362" s="138"/>
      <c r="L362" s="138"/>
      <c r="M362" s="139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32"/>
      <c r="AE362" s="140"/>
      <c r="AF362" s="140"/>
      <c r="AG362" s="140"/>
      <c r="AH362" s="140"/>
      <c r="AI362" s="140"/>
      <c r="AJ362" s="141"/>
      <c r="AK362" s="140"/>
      <c r="AL362" s="140"/>
      <c r="AM362" s="140"/>
      <c r="AN362" s="140"/>
      <c r="AO362" s="140"/>
      <c r="AP362" s="140"/>
      <c r="AQ362" s="138"/>
      <c r="AR362" s="140"/>
      <c r="AS362" s="140"/>
      <c r="AT362" s="140"/>
      <c r="AU362" s="140"/>
      <c r="AV362" s="138"/>
      <c r="AW362" s="138"/>
      <c r="AX362" s="140"/>
      <c r="AY362" s="140"/>
      <c r="AZ362" s="140"/>
      <c r="BA362" s="140"/>
      <c r="BB362" s="140"/>
      <c r="BC362" s="140"/>
    </row>
    <row r="363" ht="15.75" customHeight="1">
      <c r="C363" s="137"/>
      <c r="D363" s="138"/>
      <c r="E363" s="138"/>
      <c r="F363" s="138"/>
      <c r="J363" s="138"/>
      <c r="K363" s="138"/>
      <c r="L363" s="138"/>
      <c r="M363" s="139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32"/>
      <c r="AE363" s="140"/>
      <c r="AF363" s="140"/>
      <c r="AG363" s="140"/>
      <c r="AH363" s="140"/>
      <c r="AI363" s="140"/>
      <c r="AJ363" s="141"/>
      <c r="AK363" s="140"/>
      <c r="AL363" s="140"/>
      <c r="AM363" s="140"/>
      <c r="AN363" s="140"/>
      <c r="AO363" s="140"/>
      <c r="AP363" s="140"/>
      <c r="AQ363" s="138"/>
      <c r="AR363" s="140"/>
      <c r="AS363" s="140"/>
      <c r="AT363" s="140"/>
      <c r="AU363" s="140"/>
      <c r="AV363" s="138"/>
      <c r="AW363" s="138"/>
      <c r="AX363" s="140"/>
      <c r="AY363" s="140"/>
      <c r="AZ363" s="140"/>
      <c r="BA363" s="140"/>
      <c r="BB363" s="140"/>
      <c r="BC363" s="140"/>
    </row>
    <row r="364" ht="15.75" customHeight="1">
      <c r="C364" s="137"/>
      <c r="D364" s="138"/>
      <c r="E364" s="138"/>
      <c r="F364" s="138"/>
      <c r="J364" s="138"/>
      <c r="K364" s="138"/>
      <c r="L364" s="138"/>
      <c r="M364" s="139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32"/>
      <c r="AE364" s="140"/>
      <c r="AF364" s="140"/>
      <c r="AG364" s="140"/>
      <c r="AH364" s="140"/>
      <c r="AI364" s="140"/>
      <c r="AJ364" s="141"/>
      <c r="AK364" s="140"/>
      <c r="AL364" s="140"/>
      <c r="AM364" s="140"/>
      <c r="AN364" s="140"/>
      <c r="AO364" s="140"/>
      <c r="AP364" s="140"/>
      <c r="AQ364" s="138"/>
      <c r="AR364" s="140"/>
      <c r="AS364" s="140"/>
      <c r="AT364" s="140"/>
      <c r="AU364" s="140"/>
      <c r="AV364" s="138"/>
      <c r="AW364" s="138"/>
      <c r="AX364" s="140"/>
      <c r="AY364" s="140"/>
      <c r="AZ364" s="140"/>
      <c r="BA364" s="140"/>
      <c r="BB364" s="140"/>
      <c r="BC364" s="140"/>
    </row>
    <row r="365" ht="15.75" customHeight="1">
      <c r="C365" s="137"/>
      <c r="D365" s="138"/>
      <c r="E365" s="138"/>
      <c r="F365" s="138"/>
      <c r="J365" s="138"/>
      <c r="K365" s="138"/>
      <c r="L365" s="138"/>
      <c r="M365" s="139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32"/>
      <c r="AE365" s="140"/>
      <c r="AF365" s="140"/>
      <c r="AG365" s="140"/>
      <c r="AH365" s="140"/>
      <c r="AI365" s="140"/>
      <c r="AJ365" s="141"/>
      <c r="AK365" s="140"/>
      <c r="AL365" s="140"/>
      <c r="AM365" s="140"/>
      <c r="AN365" s="140"/>
      <c r="AO365" s="140"/>
      <c r="AP365" s="140"/>
      <c r="AQ365" s="138"/>
      <c r="AR365" s="140"/>
      <c r="AS365" s="140"/>
      <c r="AT365" s="140"/>
      <c r="AU365" s="140"/>
      <c r="AV365" s="138"/>
      <c r="AW365" s="138"/>
      <c r="AX365" s="140"/>
      <c r="AY365" s="140"/>
      <c r="AZ365" s="140"/>
      <c r="BA365" s="140"/>
      <c r="BB365" s="140"/>
      <c r="BC365" s="140"/>
    </row>
    <row r="366" ht="15.75" customHeight="1">
      <c r="C366" s="137"/>
      <c r="D366" s="138"/>
      <c r="E366" s="138"/>
      <c r="F366" s="138"/>
      <c r="J366" s="138"/>
      <c r="K366" s="138"/>
      <c r="L366" s="138"/>
      <c r="M366" s="139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32"/>
      <c r="AE366" s="140"/>
      <c r="AF366" s="140"/>
      <c r="AG366" s="140"/>
      <c r="AH366" s="140"/>
      <c r="AI366" s="140"/>
      <c r="AJ366" s="141"/>
      <c r="AK366" s="140"/>
      <c r="AL366" s="140"/>
      <c r="AM366" s="140"/>
      <c r="AN366" s="140"/>
      <c r="AO366" s="140"/>
      <c r="AP366" s="140"/>
      <c r="AQ366" s="138"/>
      <c r="AR366" s="140"/>
      <c r="AS366" s="140"/>
      <c r="AT366" s="140"/>
      <c r="AU366" s="140"/>
      <c r="AV366" s="138"/>
      <c r="AW366" s="138"/>
      <c r="AX366" s="140"/>
      <c r="AY366" s="140"/>
      <c r="AZ366" s="140"/>
      <c r="BA366" s="140"/>
      <c r="BB366" s="140"/>
      <c r="BC366" s="140"/>
    </row>
    <row r="367" ht="15.75" customHeight="1">
      <c r="C367" s="137"/>
      <c r="D367" s="138"/>
      <c r="E367" s="138"/>
      <c r="F367" s="138"/>
      <c r="J367" s="138"/>
      <c r="K367" s="138"/>
      <c r="L367" s="138"/>
      <c r="M367" s="139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32"/>
      <c r="AE367" s="140"/>
      <c r="AF367" s="140"/>
      <c r="AG367" s="140"/>
      <c r="AH367" s="140"/>
      <c r="AI367" s="140"/>
      <c r="AJ367" s="141"/>
      <c r="AK367" s="140"/>
      <c r="AL367" s="140"/>
      <c r="AM367" s="140"/>
      <c r="AN367" s="140"/>
      <c r="AO367" s="140"/>
      <c r="AP367" s="140"/>
      <c r="AQ367" s="138"/>
      <c r="AR367" s="140"/>
      <c r="AS367" s="140"/>
      <c r="AT367" s="140"/>
      <c r="AU367" s="140"/>
      <c r="AV367" s="138"/>
      <c r="AW367" s="138"/>
      <c r="AX367" s="140"/>
      <c r="AY367" s="140"/>
      <c r="AZ367" s="140"/>
      <c r="BA367" s="140"/>
      <c r="BB367" s="140"/>
      <c r="BC367" s="140"/>
    </row>
    <row r="368" ht="15.75" customHeight="1">
      <c r="C368" s="137"/>
      <c r="D368" s="138"/>
      <c r="E368" s="138"/>
      <c r="F368" s="138"/>
      <c r="J368" s="138"/>
      <c r="K368" s="138"/>
      <c r="L368" s="138"/>
      <c r="M368" s="139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32"/>
      <c r="AE368" s="140"/>
      <c r="AF368" s="140"/>
      <c r="AG368" s="140"/>
      <c r="AH368" s="140"/>
      <c r="AI368" s="140"/>
      <c r="AJ368" s="141"/>
      <c r="AK368" s="140"/>
      <c r="AL368" s="140"/>
      <c r="AM368" s="140"/>
      <c r="AN368" s="140"/>
      <c r="AO368" s="140"/>
      <c r="AP368" s="140"/>
      <c r="AQ368" s="138"/>
      <c r="AR368" s="140"/>
      <c r="AS368" s="140"/>
      <c r="AT368" s="140"/>
      <c r="AU368" s="140"/>
      <c r="AV368" s="138"/>
      <c r="AW368" s="138"/>
      <c r="AX368" s="140"/>
      <c r="AY368" s="140"/>
      <c r="AZ368" s="140"/>
      <c r="BA368" s="140"/>
      <c r="BB368" s="140"/>
      <c r="BC368" s="140"/>
    </row>
    <row r="369" ht="15.75" customHeight="1">
      <c r="C369" s="137"/>
      <c r="D369" s="138"/>
      <c r="E369" s="138"/>
      <c r="F369" s="138"/>
      <c r="J369" s="138"/>
      <c r="K369" s="138"/>
      <c r="L369" s="138"/>
      <c r="M369" s="139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32"/>
      <c r="AE369" s="140"/>
      <c r="AF369" s="140"/>
      <c r="AG369" s="140"/>
      <c r="AH369" s="140"/>
      <c r="AI369" s="140"/>
      <c r="AJ369" s="141"/>
      <c r="AK369" s="140"/>
      <c r="AL369" s="140"/>
      <c r="AM369" s="140"/>
      <c r="AN369" s="140"/>
      <c r="AO369" s="140"/>
      <c r="AP369" s="140"/>
      <c r="AQ369" s="138"/>
      <c r="AR369" s="140"/>
      <c r="AS369" s="140"/>
      <c r="AT369" s="140"/>
      <c r="AU369" s="140"/>
      <c r="AV369" s="138"/>
      <c r="AW369" s="138"/>
      <c r="AX369" s="140"/>
      <c r="AY369" s="140"/>
      <c r="AZ369" s="140"/>
      <c r="BA369" s="140"/>
      <c r="BB369" s="140"/>
      <c r="BC369" s="140"/>
    </row>
    <row r="370" ht="15.75" customHeight="1">
      <c r="C370" s="137"/>
      <c r="D370" s="138"/>
      <c r="E370" s="138"/>
      <c r="F370" s="138"/>
      <c r="J370" s="138"/>
      <c r="K370" s="138"/>
      <c r="L370" s="138"/>
      <c r="M370" s="139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32"/>
      <c r="AE370" s="140"/>
      <c r="AF370" s="140"/>
      <c r="AG370" s="140"/>
      <c r="AH370" s="140"/>
      <c r="AI370" s="140"/>
      <c r="AJ370" s="141"/>
      <c r="AK370" s="140"/>
      <c r="AL370" s="140"/>
      <c r="AM370" s="140"/>
      <c r="AN370" s="140"/>
      <c r="AO370" s="140"/>
      <c r="AP370" s="140"/>
      <c r="AQ370" s="138"/>
      <c r="AR370" s="140"/>
      <c r="AS370" s="140"/>
      <c r="AT370" s="140"/>
      <c r="AU370" s="140"/>
      <c r="AV370" s="138"/>
      <c r="AW370" s="138"/>
      <c r="AX370" s="140"/>
      <c r="AY370" s="140"/>
      <c r="AZ370" s="140"/>
      <c r="BA370" s="140"/>
      <c r="BB370" s="140"/>
      <c r="BC370" s="140"/>
    </row>
    <row r="371" ht="15.75" customHeight="1">
      <c r="C371" s="137"/>
      <c r="D371" s="138"/>
      <c r="E371" s="138"/>
      <c r="F371" s="138"/>
      <c r="J371" s="138"/>
      <c r="K371" s="138"/>
      <c r="L371" s="138"/>
      <c r="M371" s="139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32"/>
      <c r="AE371" s="140"/>
      <c r="AF371" s="140"/>
      <c r="AG371" s="140"/>
      <c r="AH371" s="140"/>
      <c r="AI371" s="140"/>
      <c r="AJ371" s="141"/>
      <c r="AK371" s="140"/>
      <c r="AL371" s="140"/>
      <c r="AM371" s="140"/>
      <c r="AN371" s="140"/>
      <c r="AO371" s="140"/>
      <c r="AP371" s="140"/>
      <c r="AQ371" s="138"/>
      <c r="AR371" s="140"/>
      <c r="AS371" s="140"/>
      <c r="AT371" s="140"/>
      <c r="AU371" s="140"/>
      <c r="AV371" s="138"/>
      <c r="AW371" s="138"/>
      <c r="AX371" s="140"/>
      <c r="AY371" s="140"/>
      <c r="AZ371" s="140"/>
      <c r="BA371" s="140"/>
      <c r="BB371" s="140"/>
      <c r="BC371" s="140"/>
    </row>
    <row r="372" ht="15.75" customHeight="1">
      <c r="C372" s="137"/>
      <c r="D372" s="138"/>
      <c r="E372" s="138"/>
      <c r="F372" s="138"/>
      <c r="J372" s="138"/>
      <c r="K372" s="138"/>
      <c r="L372" s="138"/>
      <c r="M372" s="139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32"/>
      <c r="AE372" s="140"/>
      <c r="AF372" s="140"/>
      <c r="AG372" s="140"/>
      <c r="AH372" s="140"/>
      <c r="AI372" s="140"/>
      <c r="AJ372" s="141"/>
      <c r="AK372" s="140"/>
      <c r="AL372" s="140"/>
      <c r="AM372" s="140"/>
      <c r="AN372" s="140"/>
      <c r="AO372" s="140"/>
      <c r="AP372" s="140"/>
      <c r="AQ372" s="138"/>
      <c r="AR372" s="140"/>
      <c r="AS372" s="140"/>
      <c r="AT372" s="140"/>
      <c r="AU372" s="140"/>
      <c r="AV372" s="138"/>
      <c r="AW372" s="138"/>
      <c r="AX372" s="140"/>
      <c r="AY372" s="140"/>
      <c r="AZ372" s="140"/>
      <c r="BA372" s="140"/>
      <c r="BB372" s="140"/>
      <c r="BC372" s="140"/>
    </row>
    <row r="373" ht="15.75" customHeight="1">
      <c r="C373" s="137"/>
      <c r="D373" s="138"/>
      <c r="E373" s="138"/>
      <c r="F373" s="138"/>
      <c r="J373" s="138"/>
      <c r="K373" s="138"/>
      <c r="L373" s="138"/>
      <c r="M373" s="139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32"/>
      <c r="AE373" s="140"/>
      <c r="AF373" s="140"/>
      <c r="AG373" s="140"/>
      <c r="AH373" s="140"/>
      <c r="AI373" s="140"/>
      <c r="AJ373" s="141"/>
      <c r="AK373" s="140"/>
      <c r="AL373" s="140"/>
      <c r="AM373" s="140"/>
      <c r="AN373" s="140"/>
      <c r="AO373" s="140"/>
      <c r="AP373" s="140"/>
      <c r="AQ373" s="138"/>
      <c r="AR373" s="140"/>
      <c r="AS373" s="140"/>
      <c r="AT373" s="140"/>
      <c r="AU373" s="140"/>
      <c r="AV373" s="138"/>
      <c r="AW373" s="138"/>
      <c r="AX373" s="140"/>
      <c r="AY373" s="140"/>
      <c r="AZ373" s="140"/>
      <c r="BA373" s="140"/>
      <c r="BB373" s="140"/>
      <c r="BC373" s="140"/>
    </row>
    <row r="374" ht="15.75" customHeight="1">
      <c r="C374" s="137"/>
      <c r="D374" s="138"/>
      <c r="E374" s="138"/>
      <c r="F374" s="138"/>
      <c r="J374" s="138"/>
      <c r="K374" s="138"/>
      <c r="L374" s="138"/>
      <c r="M374" s="139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32"/>
      <c r="AE374" s="140"/>
      <c r="AF374" s="140"/>
      <c r="AG374" s="140"/>
      <c r="AH374" s="140"/>
      <c r="AI374" s="140"/>
      <c r="AJ374" s="141"/>
      <c r="AK374" s="140"/>
      <c r="AL374" s="140"/>
      <c r="AM374" s="140"/>
      <c r="AN374" s="140"/>
      <c r="AO374" s="140"/>
      <c r="AP374" s="140"/>
      <c r="AQ374" s="138"/>
      <c r="AR374" s="140"/>
      <c r="AS374" s="140"/>
      <c r="AT374" s="140"/>
      <c r="AU374" s="140"/>
      <c r="AV374" s="138"/>
      <c r="AW374" s="138"/>
      <c r="AX374" s="140"/>
      <c r="AY374" s="140"/>
      <c r="AZ374" s="140"/>
      <c r="BA374" s="140"/>
      <c r="BB374" s="140"/>
      <c r="BC374" s="140"/>
    </row>
    <row r="375" ht="15.75" customHeight="1">
      <c r="C375" s="137"/>
      <c r="D375" s="138"/>
      <c r="E375" s="138"/>
      <c r="F375" s="138"/>
      <c r="J375" s="138"/>
      <c r="K375" s="138"/>
      <c r="L375" s="138"/>
      <c r="M375" s="139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32"/>
      <c r="AE375" s="140"/>
      <c r="AF375" s="140"/>
      <c r="AG375" s="140"/>
      <c r="AH375" s="140"/>
      <c r="AI375" s="140"/>
      <c r="AJ375" s="141"/>
      <c r="AK375" s="140"/>
      <c r="AL375" s="140"/>
      <c r="AM375" s="140"/>
      <c r="AN375" s="140"/>
      <c r="AO375" s="140"/>
      <c r="AP375" s="140"/>
      <c r="AQ375" s="138"/>
      <c r="AR375" s="140"/>
      <c r="AS375" s="140"/>
      <c r="AT375" s="140"/>
      <c r="AU375" s="140"/>
      <c r="AV375" s="138"/>
      <c r="AW375" s="138"/>
      <c r="AX375" s="140"/>
      <c r="AY375" s="140"/>
      <c r="AZ375" s="140"/>
      <c r="BA375" s="140"/>
      <c r="BB375" s="140"/>
      <c r="BC375" s="140"/>
    </row>
    <row r="376" ht="15.75" customHeight="1">
      <c r="C376" s="137"/>
      <c r="D376" s="138"/>
      <c r="E376" s="138"/>
      <c r="F376" s="138"/>
      <c r="J376" s="138"/>
      <c r="K376" s="138"/>
      <c r="L376" s="138"/>
      <c r="M376" s="139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32"/>
      <c r="AE376" s="140"/>
      <c r="AF376" s="140"/>
      <c r="AG376" s="140"/>
      <c r="AH376" s="140"/>
      <c r="AI376" s="140"/>
      <c r="AJ376" s="141"/>
      <c r="AK376" s="140"/>
      <c r="AL376" s="140"/>
      <c r="AM376" s="140"/>
      <c r="AN376" s="140"/>
      <c r="AO376" s="140"/>
      <c r="AP376" s="140"/>
      <c r="AQ376" s="138"/>
      <c r="AR376" s="140"/>
      <c r="AS376" s="140"/>
      <c r="AT376" s="140"/>
      <c r="AU376" s="140"/>
      <c r="AV376" s="138"/>
      <c r="AW376" s="138"/>
      <c r="AX376" s="140"/>
      <c r="AY376" s="140"/>
      <c r="AZ376" s="140"/>
      <c r="BA376" s="140"/>
      <c r="BB376" s="140"/>
      <c r="BC376" s="140"/>
    </row>
    <row r="377" ht="15.75" customHeight="1">
      <c r="C377" s="137"/>
      <c r="D377" s="138"/>
      <c r="E377" s="138"/>
      <c r="F377" s="138"/>
      <c r="J377" s="138"/>
      <c r="K377" s="138"/>
      <c r="L377" s="138"/>
      <c r="M377" s="139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32"/>
      <c r="AE377" s="140"/>
      <c r="AF377" s="140"/>
      <c r="AG377" s="140"/>
      <c r="AH377" s="140"/>
      <c r="AI377" s="140"/>
      <c r="AJ377" s="141"/>
      <c r="AK377" s="140"/>
      <c r="AL377" s="140"/>
      <c r="AM377" s="140"/>
      <c r="AN377" s="140"/>
      <c r="AO377" s="140"/>
      <c r="AP377" s="140"/>
      <c r="AQ377" s="138"/>
      <c r="AR377" s="140"/>
      <c r="AS377" s="140"/>
      <c r="AT377" s="140"/>
      <c r="AU377" s="140"/>
      <c r="AV377" s="138"/>
      <c r="AW377" s="138"/>
      <c r="AX377" s="140"/>
      <c r="AY377" s="140"/>
      <c r="AZ377" s="140"/>
      <c r="BA377" s="140"/>
      <c r="BB377" s="140"/>
      <c r="BC377" s="140"/>
    </row>
    <row r="378" ht="15.75" customHeight="1">
      <c r="C378" s="137"/>
      <c r="D378" s="138"/>
      <c r="E378" s="138"/>
      <c r="F378" s="138"/>
      <c r="J378" s="138"/>
      <c r="K378" s="138"/>
      <c r="L378" s="138"/>
      <c r="M378" s="139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32"/>
      <c r="AE378" s="140"/>
      <c r="AF378" s="140"/>
      <c r="AG378" s="140"/>
      <c r="AH378" s="140"/>
      <c r="AI378" s="140"/>
      <c r="AJ378" s="141"/>
      <c r="AK378" s="140"/>
      <c r="AL378" s="140"/>
      <c r="AM378" s="140"/>
      <c r="AN378" s="140"/>
      <c r="AO378" s="140"/>
      <c r="AP378" s="140"/>
      <c r="AQ378" s="138"/>
      <c r="AR378" s="140"/>
      <c r="AS378" s="140"/>
      <c r="AT378" s="140"/>
      <c r="AU378" s="140"/>
      <c r="AV378" s="138"/>
      <c r="AW378" s="138"/>
      <c r="AX378" s="140"/>
      <c r="AY378" s="140"/>
      <c r="AZ378" s="140"/>
      <c r="BA378" s="140"/>
      <c r="BB378" s="140"/>
      <c r="BC378" s="140"/>
    </row>
    <row r="379" ht="15.75" customHeight="1">
      <c r="C379" s="137"/>
      <c r="D379" s="138"/>
      <c r="E379" s="138"/>
      <c r="F379" s="138"/>
      <c r="J379" s="138"/>
      <c r="K379" s="138"/>
      <c r="L379" s="138"/>
      <c r="M379" s="139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32"/>
      <c r="AE379" s="140"/>
      <c r="AF379" s="140"/>
      <c r="AG379" s="140"/>
      <c r="AH379" s="140"/>
      <c r="AI379" s="140"/>
      <c r="AJ379" s="141"/>
      <c r="AK379" s="140"/>
      <c r="AL379" s="140"/>
      <c r="AM379" s="140"/>
      <c r="AN379" s="140"/>
      <c r="AO379" s="140"/>
      <c r="AP379" s="140"/>
      <c r="AQ379" s="138"/>
      <c r="AR379" s="140"/>
      <c r="AS379" s="140"/>
      <c r="AT379" s="140"/>
      <c r="AU379" s="140"/>
      <c r="AV379" s="138"/>
      <c r="AW379" s="138"/>
      <c r="AX379" s="140"/>
      <c r="AY379" s="140"/>
      <c r="AZ379" s="140"/>
      <c r="BA379" s="140"/>
      <c r="BB379" s="140"/>
      <c r="BC379" s="140"/>
    </row>
    <row r="380" ht="15.75" customHeight="1">
      <c r="C380" s="137"/>
      <c r="D380" s="138"/>
      <c r="E380" s="138"/>
      <c r="F380" s="138"/>
      <c r="J380" s="138"/>
      <c r="K380" s="138"/>
      <c r="L380" s="138"/>
      <c r="M380" s="139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32"/>
      <c r="AE380" s="140"/>
      <c r="AF380" s="140"/>
      <c r="AG380" s="140"/>
      <c r="AH380" s="140"/>
      <c r="AI380" s="140"/>
      <c r="AJ380" s="141"/>
      <c r="AK380" s="140"/>
      <c r="AL380" s="140"/>
      <c r="AM380" s="140"/>
      <c r="AN380" s="140"/>
      <c r="AO380" s="140"/>
      <c r="AP380" s="140"/>
      <c r="AQ380" s="138"/>
      <c r="AR380" s="140"/>
      <c r="AS380" s="140"/>
      <c r="AT380" s="140"/>
      <c r="AU380" s="140"/>
      <c r="AV380" s="138"/>
      <c r="AW380" s="138"/>
      <c r="AX380" s="140"/>
      <c r="AY380" s="140"/>
      <c r="AZ380" s="140"/>
      <c r="BA380" s="140"/>
      <c r="BB380" s="140"/>
      <c r="BC380" s="140"/>
    </row>
    <row r="381" ht="15.75" customHeight="1">
      <c r="C381" s="137"/>
      <c r="D381" s="138"/>
      <c r="E381" s="138"/>
      <c r="F381" s="138"/>
      <c r="J381" s="138"/>
      <c r="K381" s="138"/>
      <c r="L381" s="138"/>
      <c r="M381" s="139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32"/>
      <c r="AE381" s="140"/>
      <c r="AF381" s="140"/>
      <c r="AG381" s="140"/>
      <c r="AH381" s="140"/>
      <c r="AI381" s="140"/>
      <c r="AJ381" s="141"/>
      <c r="AK381" s="140"/>
      <c r="AL381" s="140"/>
      <c r="AM381" s="140"/>
      <c r="AN381" s="140"/>
      <c r="AO381" s="140"/>
      <c r="AP381" s="140"/>
      <c r="AQ381" s="138"/>
      <c r="AR381" s="140"/>
      <c r="AS381" s="140"/>
      <c r="AT381" s="140"/>
      <c r="AU381" s="140"/>
      <c r="AV381" s="138"/>
      <c r="AW381" s="138"/>
      <c r="AX381" s="140"/>
      <c r="AY381" s="140"/>
      <c r="AZ381" s="140"/>
      <c r="BA381" s="140"/>
      <c r="BB381" s="140"/>
      <c r="BC381" s="140"/>
    </row>
    <row r="382" ht="15.75" customHeight="1">
      <c r="C382" s="137"/>
      <c r="D382" s="138"/>
      <c r="E382" s="138"/>
      <c r="F382" s="138"/>
      <c r="J382" s="138"/>
      <c r="K382" s="138"/>
      <c r="L382" s="138"/>
      <c r="M382" s="139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32"/>
      <c r="AE382" s="140"/>
      <c r="AF382" s="140"/>
      <c r="AG382" s="140"/>
      <c r="AH382" s="140"/>
      <c r="AI382" s="140"/>
      <c r="AJ382" s="141"/>
      <c r="AK382" s="140"/>
      <c r="AL382" s="140"/>
      <c r="AM382" s="140"/>
      <c r="AN382" s="140"/>
      <c r="AO382" s="140"/>
      <c r="AP382" s="140"/>
      <c r="AQ382" s="138"/>
      <c r="AR382" s="140"/>
      <c r="AS382" s="140"/>
      <c r="AT382" s="140"/>
      <c r="AU382" s="140"/>
      <c r="AV382" s="138"/>
      <c r="AW382" s="138"/>
      <c r="AX382" s="140"/>
      <c r="AY382" s="140"/>
      <c r="AZ382" s="140"/>
      <c r="BA382" s="140"/>
      <c r="BB382" s="140"/>
      <c r="BC382" s="140"/>
    </row>
    <row r="383" ht="15.75" customHeight="1">
      <c r="C383" s="137"/>
      <c r="D383" s="138"/>
      <c r="E383" s="138"/>
      <c r="F383" s="138"/>
      <c r="J383" s="138"/>
      <c r="K383" s="138"/>
      <c r="L383" s="138"/>
      <c r="M383" s="139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32"/>
      <c r="AE383" s="140"/>
      <c r="AF383" s="140"/>
      <c r="AG383" s="140"/>
      <c r="AH383" s="140"/>
      <c r="AI383" s="140"/>
      <c r="AJ383" s="141"/>
      <c r="AK383" s="140"/>
      <c r="AL383" s="140"/>
      <c r="AM383" s="140"/>
      <c r="AN383" s="140"/>
      <c r="AO383" s="140"/>
      <c r="AP383" s="140"/>
      <c r="AQ383" s="138"/>
      <c r="AR383" s="140"/>
      <c r="AS383" s="140"/>
      <c r="AT383" s="140"/>
      <c r="AU383" s="140"/>
      <c r="AV383" s="138"/>
      <c r="AW383" s="138"/>
      <c r="AX383" s="140"/>
      <c r="AY383" s="140"/>
      <c r="AZ383" s="140"/>
      <c r="BA383" s="140"/>
      <c r="BB383" s="140"/>
      <c r="BC383" s="140"/>
    </row>
    <row r="384" ht="15.75" customHeight="1">
      <c r="C384" s="137"/>
      <c r="D384" s="138"/>
      <c r="E384" s="138"/>
      <c r="F384" s="138"/>
      <c r="J384" s="138"/>
      <c r="K384" s="138"/>
      <c r="L384" s="138"/>
      <c r="M384" s="139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32"/>
      <c r="AE384" s="140"/>
      <c r="AF384" s="140"/>
      <c r="AG384" s="140"/>
      <c r="AH384" s="140"/>
      <c r="AI384" s="140"/>
      <c r="AJ384" s="141"/>
      <c r="AK384" s="140"/>
      <c r="AL384" s="140"/>
      <c r="AM384" s="140"/>
      <c r="AN384" s="140"/>
      <c r="AO384" s="140"/>
      <c r="AP384" s="140"/>
      <c r="AQ384" s="138"/>
      <c r="AR384" s="140"/>
      <c r="AS384" s="140"/>
      <c r="AT384" s="140"/>
      <c r="AU384" s="140"/>
      <c r="AV384" s="138"/>
      <c r="AW384" s="138"/>
      <c r="AX384" s="140"/>
      <c r="AY384" s="140"/>
      <c r="AZ384" s="140"/>
      <c r="BA384" s="140"/>
      <c r="BB384" s="140"/>
      <c r="BC384" s="140"/>
    </row>
    <row r="385" ht="15.75" customHeight="1">
      <c r="C385" s="137"/>
      <c r="D385" s="138"/>
      <c r="E385" s="138"/>
      <c r="F385" s="138"/>
      <c r="J385" s="138"/>
      <c r="K385" s="138"/>
      <c r="L385" s="138"/>
      <c r="M385" s="139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32"/>
      <c r="AE385" s="140"/>
      <c r="AF385" s="140"/>
      <c r="AG385" s="140"/>
      <c r="AH385" s="140"/>
      <c r="AI385" s="140"/>
      <c r="AJ385" s="141"/>
      <c r="AK385" s="140"/>
      <c r="AL385" s="140"/>
      <c r="AM385" s="140"/>
      <c r="AN385" s="140"/>
      <c r="AO385" s="140"/>
      <c r="AP385" s="140"/>
      <c r="AQ385" s="138"/>
      <c r="AR385" s="140"/>
      <c r="AS385" s="140"/>
      <c r="AT385" s="140"/>
      <c r="AU385" s="140"/>
      <c r="AV385" s="138"/>
      <c r="AW385" s="138"/>
      <c r="AX385" s="140"/>
      <c r="AY385" s="140"/>
      <c r="AZ385" s="140"/>
      <c r="BA385" s="140"/>
      <c r="BB385" s="140"/>
      <c r="BC385" s="140"/>
    </row>
    <row r="386" ht="15.75" customHeight="1">
      <c r="C386" s="137"/>
      <c r="D386" s="138"/>
      <c r="E386" s="138"/>
      <c r="F386" s="138"/>
      <c r="J386" s="138"/>
      <c r="K386" s="138"/>
      <c r="L386" s="138"/>
      <c r="M386" s="139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32"/>
      <c r="AE386" s="140"/>
      <c r="AF386" s="140"/>
      <c r="AG386" s="140"/>
      <c r="AH386" s="140"/>
      <c r="AI386" s="140"/>
      <c r="AJ386" s="141"/>
      <c r="AK386" s="140"/>
      <c r="AL386" s="140"/>
      <c r="AM386" s="140"/>
      <c r="AN386" s="140"/>
      <c r="AO386" s="140"/>
      <c r="AP386" s="140"/>
      <c r="AQ386" s="138"/>
      <c r="AR386" s="140"/>
      <c r="AS386" s="140"/>
      <c r="AT386" s="140"/>
      <c r="AU386" s="140"/>
      <c r="AV386" s="138"/>
      <c r="AW386" s="138"/>
      <c r="AX386" s="140"/>
      <c r="AY386" s="140"/>
      <c r="AZ386" s="140"/>
      <c r="BA386" s="140"/>
      <c r="BB386" s="140"/>
      <c r="BC386" s="140"/>
    </row>
    <row r="387" ht="15.75" customHeight="1">
      <c r="C387" s="137"/>
      <c r="D387" s="138"/>
      <c r="E387" s="138"/>
      <c r="F387" s="138"/>
      <c r="J387" s="138"/>
      <c r="K387" s="138"/>
      <c r="L387" s="138"/>
      <c r="M387" s="139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32"/>
      <c r="AE387" s="140"/>
      <c r="AF387" s="140"/>
      <c r="AG387" s="140"/>
      <c r="AH387" s="140"/>
      <c r="AI387" s="140"/>
      <c r="AJ387" s="141"/>
      <c r="AK387" s="140"/>
      <c r="AL387" s="140"/>
      <c r="AM387" s="140"/>
      <c r="AN387" s="140"/>
      <c r="AO387" s="140"/>
      <c r="AP387" s="140"/>
      <c r="AQ387" s="138"/>
      <c r="AR387" s="140"/>
      <c r="AS387" s="140"/>
      <c r="AT387" s="140"/>
      <c r="AU387" s="140"/>
      <c r="AV387" s="138"/>
      <c r="AW387" s="138"/>
      <c r="AX387" s="140"/>
      <c r="AY387" s="140"/>
      <c r="AZ387" s="140"/>
      <c r="BA387" s="140"/>
      <c r="BB387" s="140"/>
      <c r="BC387" s="140"/>
    </row>
    <row r="388" ht="15.75" customHeight="1">
      <c r="C388" s="137"/>
      <c r="D388" s="138"/>
      <c r="E388" s="138"/>
      <c r="F388" s="138"/>
      <c r="J388" s="138"/>
      <c r="K388" s="138"/>
      <c r="L388" s="138"/>
      <c r="M388" s="139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32"/>
      <c r="AE388" s="140"/>
      <c r="AF388" s="140"/>
      <c r="AG388" s="140"/>
      <c r="AH388" s="140"/>
      <c r="AI388" s="140"/>
      <c r="AJ388" s="141"/>
      <c r="AK388" s="140"/>
      <c r="AL388" s="140"/>
      <c r="AM388" s="140"/>
      <c r="AN388" s="140"/>
      <c r="AO388" s="140"/>
      <c r="AP388" s="140"/>
      <c r="AQ388" s="138"/>
      <c r="AR388" s="140"/>
      <c r="AS388" s="140"/>
      <c r="AT388" s="140"/>
      <c r="AU388" s="140"/>
      <c r="AV388" s="138"/>
      <c r="AW388" s="138"/>
      <c r="AX388" s="140"/>
      <c r="AY388" s="140"/>
      <c r="AZ388" s="140"/>
      <c r="BA388" s="140"/>
      <c r="BB388" s="140"/>
      <c r="BC388" s="140"/>
    </row>
    <row r="389" ht="15.75" customHeight="1">
      <c r="C389" s="137"/>
      <c r="D389" s="138"/>
      <c r="E389" s="138"/>
      <c r="F389" s="138"/>
      <c r="J389" s="138"/>
      <c r="K389" s="138"/>
      <c r="L389" s="138"/>
      <c r="M389" s="139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32"/>
      <c r="AE389" s="140"/>
      <c r="AF389" s="140"/>
      <c r="AG389" s="140"/>
      <c r="AH389" s="140"/>
      <c r="AI389" s="140"/>
      <c r="AJ389" s="141"/>
      <c r="AK389" s="140"/>
      <c r="AL389" s="140"/>
      <c r="AM389" s="140"/>
      <c r="AN389" s="140"/>
      <c r="AO389" s="140"/>
      <c r="AP389" s="140"/>
      <c r="AQ389" s="138"/>
      <c r="AR389" s="140"/>
      <c r="AS389" s="140"/>
      <c r="AT389" s="140"/>
      <c r="AU389" s="140"/>
      <c r="AV389" s="138"/>
      <c r="AW389" s="138"/>
      <c r="AX389" s="140"/>
      <c r="AY389" s="140"/>
      <c r="AZ389" s="140"/>
      <c r="BA389" s="140"/>
      <c r="BB389" s="140"/>
      <c r="BC389" s="140"/>
    </row>
    <row r="390" ht="15.75" customHeight="1">
      <c r="C390" s="137"/>
      <c r="D390" s="138"/>
      <c r="E390" s="138"/>
      <c r="F390" s="138"/>
      <c r="J390" s="138"/>
      <c r="K390" s="138"/>
      <c r="L390" s="138"/>
      <c r="M390" s="139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32"/>
      <c r="AE390" s="140"/>
      <c r="AF390" s="140"/>
      <c r="AG390" s="140"/>
      <c r="AH390" s="140"/>
      <c r="AI390" s="140"/>
      <c r="AJ390" s="141"/>
      <c r="AK390" s="140"/>
      <c r="AL390" s="140"/>
      <c r="AM390" s="140"/>
      <c r="AN390" s="140"/>
      <c r="AO390" s="140"/>
      <c r="AP390" s="140"/>
      <c r="AQ390" s="138"/>
      <c r="AR390" s="140"/>
      <c r="AS390" s="140"/>
      <c r="AT390" s="140"/>
      <c r="AU390" s="140"/>
      <c r="AV390" s="138"/>
      <c r="AW390" s="138"/>
      <c r="AX390" s="140"/>
      <c r="AY390" s="140"/>
      <c r="AZ390" s="140"/>
      <c r="BA390" s="140"/>
      <c r="BB390" s="140"/>
      <c r="BC390" s="140"/>
    </row>
    <row r="391" ht="15.75" customHeight="1">
      <c r="C391" s="137"/>
      <c r="D391" s="138"/>
      <c r="E391" s="138"/>
      <c r="F391" s="138"/>
      <c r="J391" s="138"/>
      <c r="K391" s="138"/>
      <c r="L391" s="138"/>
      <c r="M391" s="139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32"/>
      <c r="AE391" s="140"/>
      <c r="AF391" s="140"/>
      <c r="AG391" s="140"/>
      <c r="AH391" s="140"/>
      <c r="AI391" s="140"/>
      <c r="AJ391" s="141"/>
      <c r="AK391" s="140"/>
      <c r="AL391" s="140"/>
      <c r="AM391" s="140"/>
      <c r="AN391" s="140"/>
      <c r="AO391" s="140"/>
      <c r="AP391" s="140"/>
      <c r="AQ391" s="138"/>
      <c r="AR391" s="140"/>
      <c r="AS391" s="140"/>
      <c r="AT391" s="140"/>
      <c r="AU391" s="140"/>
      <c r="AV391" s="138"/>
      <c r="AW391" s="138"/>
      <c r="AX391" s="140"/>
      <c r="AY391" s="140"/>
      <c r="AZ391" s="140"/>
      <c r="BA391" s="140"/>
      <c r="BB391" s="140"/>
      <c r="BC391" s="140"/>
    </row>
    <row r="392" ht="15.75" customHeight="1">
      <c r="C392" s="137"/>
      <c r="D392" s="138"/>
      <c r="E392" s="138"/>
      <c r="F392" s="138"/>
      <c r="J392" s="138"/>
      <c r="K392" s="138"/>
      <c r="L392" s="138"/>
      <c r="M392" s="139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32"/>
      <c r="AE392" s="140"/>
      <c r="AF392" s="140"/>
      <c r="AG392" s="140"/>
      <c r="AH392" s="140"/>
      <c r="AI392" s="140"/>
      <c r="AJ392" s="141"/>
      <c r="AK392" s="140"/>
      <c r="AL392" s="140"/>
      <c r="AM392" s="140"/>
      <c r="AN392" s="140"/>
      <c r="AO392" s="140"/>
      <c r="AP392" s="140"/>
      <c r="AQ392" s="138"/>
      <c r="AR392" s="140"/>
      <c r="AS392" s="140"/>
      <c r="AT392" s="140"/>
      <c r="AU392" s="140"/>
      <c r="AV392" s="138"/>
      <c r="AW392" s="138"/>
      <c r="AX392" s="140"/>
      <c r="AY392" s="140"/>
      <c r="AZ392" s="140"/>
      <c r="BA392" s="140"/>
      <c r="BB392" s="140"/>
      <c r="BC392" s="140"/>
    </row>
    <row r="393" ht="15.75" customHeight="1">
      <c r="C393" s="137"/>
      <c r="D393" s="138"/>
      <c r="E393" s="138"/>
      <c r="F393" s="138"/>
      <c r="J393" s="138"/>
      <c r="K393" s="138"/>
      <c r="L393" s="138"/>
      <c r="M393" s="139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32"/>
      <c r="AE393" s="140"/>
      <c r="AF393" s="140"/>
      <c r="AG393" s="140"/>
      <c r="AH393" s="140"/>
      <c r="AI393" s="140"/>
      <c r="AJ393" s="141"/>
      <c r="AK393" s="140"/>
      <c r="AL393" s="140"/>
      <c r="AM393" s="140"/>
      <c r="AN393" s="140"/>
      <c r="AO393" s="140"/>
      <c r="AP393" s="140"/>
      <c r="AQ393" s="138"/>
      <c r="AR393" s="140"/>
      <c r="AS393" s="140"/>
      <c r="AT393" s="140"/>
      <c r="AU393" s="140"/>
      <c r="AV393" s="138"/>
      <c r="AW393" s="138"/>
      <c r="AX393" s="140"/>
      <c r="AY393" s="140"/>
      <c r="AZ393" s="140"/>
      <c r="BA393" s="140"/>
      <c r="BB393" s="140"/>
      <c r="BC393" s="140"/>
    </row>
    <row r="394" ht="15.75" customHeight="1">
      <c r="C394" s="137"/>
      <c r="D394" s="138"/>
      <c r="E394" s="138"/>
      <c r="F394" s="138"/>
      <c r="J394" s="138"/>
      <c r="K394" s="138"/>
      <c r="L394" s="138"/>
      <c r="M394" s="139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32"/>
      <c r="AE394" s="140"/>
      <c r="AF394" s="140"/>
      <c r="AG394" s="140"/>
      <c r="AH394" s="140"/>
      <c r="AI394" s="140"/>
      <c r="AJ394" s="141"/>
      <c r="AK394" s="140"/>
      <c r="AL394" s="140"/>
      <c r="AM394" s="140"/>
      <c r="AN394" s="140"/>
      <c r="AO394" s="140"/>
      <c r="AP394" s="140"/>
      <c r="AQ394" s="138"/>
      <c r="AR394" s="140"/>
      <c r="AS394" s="140"/>
      <c r="AT394" s="140"/>
      <c r="AU394" s="140"/>
      <c r="AV394" s="138"/>
      <c r="AW394" s="138"/>
      <c r="AX394" s="140"/>
      <c r="AY394" s="140"/>
      <c r="AZ394" s="140"/>
      <c r="BA394" s="140"/>
      <c r="BB394" s="140"/>
      <c r="BC394" s="140"/>
    </row>
    <row r="395" ht="15.75" customHeight="1">
      <c r="C395" s="137"/>
      <c r="D395" s="138"/>
      <c r="E395" s="138"/>
      <c r="F395" s="138"/>
      <c r="J395" s="138"/>
      <c r="K395" s="138"/>
      <c r="L395" s="138"/>
      <c r="M395" s="139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32"/>
      <c r="AE395" s="140"/>
      <c r="AF395" s="140"/>
      <c r="AG395" s="140"/>
      <c r="AH395" s="140"/>
      <c r="AI395" s="140"/>
      <c r="AJ395" s="141"/>
      <c r="AK395" s="140"/>
      <c r="AL395" s="140"/>
      <c r="AM395" s="140"/>
      <c r="AN395" s="140"/>
      <c r="AO395" s="140"/>
      <c r="AP395" s="140"/>
      <c r="AQ395" s="138"/>
      <c r="AR395" s="140"/>
      <c r="AS395" s="140"/>
      <c r="AT395" s="140"/>
      <c r="AU395" s="140"/>
      <c r="AV395" s="138"/>
      <c r="AW395" s="138"/>
      <c r="AX395" s="140"/>
      <c r="AY395" s="140"/>
      <c r="AZ395" s="140"/>
      <c r="BA395" s="140"/>
      <c r="BB395" s="140"/>
      <c r="BC395" s="140"/>
    </row>
    <row r="396" ht="15.75" customHeight="1">
      <c r="C396" s="137"/>
      <c r="D396" s="138"/>
      <c r="E396" s="138"/>
      <c r="F396" s="138"/>
      <c r="J396" s="138"/>
      <c r="K396" s="138"/>
      <c r="L396" s="138"/>
      <c r="M396" s="139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32"/>
      <c r="AE396" s="140"/>
      <c r="AF396" s="140"/>
      <c r="AG396" s="140"/>
      <c r="AH396" s="140"/>
      <c r="AI396" s="140"/>
      <c r="AJ396" s="141"/>
      <c r="AK396" s="140"/>
      <c r="AL396" s="140"/>
      <c r="AM396" s="140"/>
      <c r="AN396" s="140"/>
      <c r="AO396" s="140"/>
      <c r="AP396" s="140"/>
      <c r="AQ396" s="138"/>
      <c r="AR396" s="140"/>
      <c r="AS396" s="140"/>
      <c r="AT396" s="140"/>
      <c r="AU396" s="140"/>
      <c r="AV396" s="138"/>
      <c r="AW396" s="138"/>
      <c r="AX396" s="140"/>
      <c r="AY396" s="140"/>
      <c r="AZ396" s="140"/>
      <c r="BA396" s="140"/>
      <c r="BB396" s="140"/>
      <c r="BC396" s="140"/>
    </row>
    <row r="397" ht="15.75" customHeight="1">
      <c r="C397" s="137"/>
      <c r="D397" s="138"/>
      <c r="E397" s="138"/>
      <c r="F397" s="138"/>
      <c r="J397" s="138"/>
      <c r="K397" s="138"/>
      <c r="L397" s="138"/>
      <c r="M397" s="139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32"/>
      <c r="AE397" s="140"/>
      <c r="AF397" s="140"/>
      <c r="AG397" s="140"/>
      <c r="AH397" s="140"/>
      <c r="AI397" s="140"/>
      <c r="AJ397" s="141"/>
      <c r="AK397" s="140"/>
      <c r="AL397" s="140"/>
      <c r="AM397" s="140"/>
      <c r="AN397" s="140"/>
      <c r="AO397" s="140"/>
      <c r="AP397" s="140"/>
      <c r="AQ397" s="138"/>
      <c r="AR397" s="140"/>
      <c r="AS397" s="140"/>
      <c r="AT397" s="140"/>
      <c r="AU397" s="140"/>
      <c r="AV397" s="138"/>
      <c r="AW397" s="138"/>
      <c r="AX397" s="140"/>
      <c r="AY397" s="140"/>
      <c r="AZ397" s="140"/>
      <c r="BA397" s="140"/>
      <c r="BB397" s="140"/>
      <c r="BC397" s="140"/>
    </row>
    <row r="398" ht="15.75" customHeight="1">
      <c r="C398" s="137"/>
      <c r="D398" s="138"/>
      <c r="E398" s="138"/>
      <c r="F398" s="138"/>
      <c r="J398" s="138"/>
      <c r="K398" s="138"/>
      <c r="L398" s="138"/>
      <c r="M398" s="139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32"/>
      <c r="AE398" s="140"/>
      <c r="AF398" s="140"/>
      <c r="AG398" s="140"/>
      <c r="AH398" s="140"/>
      <c r="AI398" s="140"/>
      <c r="AJ398" s="141"/>
      <c r="AK398" s="140"/>
      <c r="AL398" s="140"/>
      <c r="AM398" s="140"/>
      <c r="AN398" s="140"/>
      <c r="AO398" s="140"/>
      <c r="AP398" s="140"/>
      <c r="AQ398" s="138"/>
      <c r="AR398" s="140"/>
      <c r="AS398" s="140"/>
      <c r="AT398" s="140"/>
      <c r="AU398" s="140"/>
      <c r="AV398" s="138"/>
      <c r="AW398" s="138"/>
      <c r="AX398" s="140"/>
      <c r="AY398" s="140"/>
      <c r="AZ398" s="140"/>
      <c r="BA398" s="140"/>
      <c r="BB398" s="140"/>
      <c r="BC398" s="140"/>
    </row>
    <row r="399" ht="15.75" customHeight="1">
      <c r="C399" s="137"/>
      <c r="D399" s="138"/>
      <c r="E399" s="138"/>
      <c r="F399" s="138"/>
      <c r="J399" s="138"/>
      <c r="K399" s="138"/>
      <c r="L399" s="138"/>
      <c r="M399" s="139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32"/>
      <c r="AE399" s="140"/>
      <c r="AF399" s="140"/>
      <c r="AG399" s="140"/>
      <c r="AH399" s="140"/>
      <c r="AI399" s="140"/>
      <c r="AJ399" s="141"/>
      <c r="AK399" s="140"/>
      <c r="AL399" s="140"/>
      <c r="AM399" s="140"/>
      <c r="AN399" s="140"/>
      <c r="AO399" s="140"/>
      <c r="AP399" s="140"/>
      <c r="AQ399" s="138"/>
      <c r="AR399" s="140"/>
      <c r="AS399" s="140"/>
      <c r="AT399" s="140"/>
      <c r="AU399" s="140"/>
      <c r="AV399" s="138"/>
      <c r="AW399" s="138"/>
      <c r="AX399" s="140"/>
      <c r="AY399" s="140"/>
      <c r="AZ399" s="140"/>
      <c r="BA399" s="140"/>
      <c r="BB399" s="140"/>
      <c r="BC399" s="140"/>
    </row>
    <row r="400" ht="15.75" customHeight="1">
      <c r="C400" s="137"/>
      <c r="D400" s="138"/>
      <c r="E400" s="138"/>
      <c r="F400" s="138"/>
      <c r="J400" s="138"/>
      <c r="K400" s="138"/>
      <c r="L400" s="138"/>
      <c r="M400" s="139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32"/>
      <c r="AE400" s="140"/>
      <c r="AF400" s="140"/>
      <c r="AG400" s="140"/>
      <c r="AH400" s="140"/>
      <c r="AI400" s="140"/>
      <c r="AJ400" s="141"/>
      <c r="AK400" s="140"/>
      <c r="AL400" s="140"/>
      <c r="AM400" s="140"/>
      <c r="AN400" s="140"/>
      <c r="AO400" s="140"/>
      <c r="AP400" s="140"/>
      <c r="AQ400" s="138"/>
      <c r="AR400" s="140"/>
      <c r="AS400" s="140"/>
      <c r="AT400" s="140"/>
      <c r="AU400" s="140"/>
      <c r="AV400" s="138"/>
      <c r="AW400" s="138"/>
      <c r="AX400" s="140"/>
      <c r="AY400" s="140"/>
      <c r="AZ400" s="140"/>
      <c r="BA400" s="140"/>
      <c r="BB400" s="140"/>
      <c r="BC400" s="140"/>
    </row>
    <row r="401" ht="15.75" customHeight="1">
      <c r="C401" s="137"/>
      <c r="D401" s="138"/>
      <c r="E401" s="138"/>
      <c r="F401" s="138"/>
      <c r="J401" s="138"/>
      <c r="K401" s="138"/>
      <c r="L401" s="138"/>
      <c r="M401" s="139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32"/>
      <c r="AE401" s="140"/>
      <c r="AF401" s="140"/>
      <c r="AG401" s="140"/>
      <c r="AH401" s="140"/>
      <c r="AI401" s="140"/>
      <c r="AJ401" s="141"/>
      <c r="AK401" s="140"/>
      <c r="AL401" s="140"/>
      <c r="AM401" s="140"/>
      <c r="AN401" s="140"/>
      <c r="AO401" s="140"/>
      <c r="AP401" s="140"/>
      <c r="AQ401" s="138"/>
      <c r="AR401" s="140"/>
      <c r="AS401" s="140"/>
      <c r="AT401" s="140"/>
      <c r="AU401" s="140"/>
      <c r="AV401" s="138"/>
      <c r="AW401" s="138"/>
      <c r="AX401" s="140"/>
      <c r="AY401" s="140"/>
      <c r="AZ401" s="140"/>
      <c r="BA401" s="140"/>
      <c r="BB401" s="140"/>
      <c r="BC401" s="140"/>
    </row>
    <row r="402" ht="15.75" customHeight="1">
      <c r="C402" s="137"/>
      <c r="D402" s="138"/>
      <c r="E402" s="138"/>
      <c r="F402" s="138"/>
      <c r="J402" s="138"/>
      <c r="K402" s="138"/>
      <c r="L402" s="138"/>
      <c r="M402" s="139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32"/>
      <c r="AE402" s="140"/>
      <c r="AF402" s="140"/>
      <c r="AG402" s="140"/>
      <c r="AH402" s="140"/>
      <c r="AI402" s="140"/>
      <c r="AJ402" s="141"/>
      <c r="AK402" s="140"/>
      <c r="AL402" s="140"/>
      <c r="AM402" s="140"/>
      <c r="AN402" s="140"/>
      <c r="AO402" s="140"/>
      <c r="AP402" s="140"/>
      <c r="AQ402" s="138"/>
      <c r="AR402" s="140"/>
      <c r="AS402" s="140"/>
      <c r="AT402" s="140"/>
      <c r="AU402" s="140"/>
      <c r="AV402" s="138"/>
      <c r="AW402" s="138"/>
      <c r="AX402" s="140"/>
      <c r="AY402" s="140"/>
      <c r="AZ402" s="140"/>
      <c r="BA402" s="140"/>
      <c r="BB402" s="140"/>
      <c r="BC402" s="140"/>
    </row>
    <row r="403" ht="15.75" customHeight="1">
      <c r="C403" s="137"/>
      <c r="D403" s="138"/>
      <c r="E403" s="138"/>
      <c r="F403" s="138"/>
      <c r="J403" s="138"/>
      <c r="K403" s="138"/>
      <c r="L403" s="138"/>
      <c r="M403" s="139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32"/>
      <c r="AE403" s="140"/>
      <c r="AF403" s="140"/>
      <c r="AG403" s="140"/>
      <c r="AH403" s="140"/>
      <c r="AI403" s="140"/>
      <c r="AJ403" s="141"/>
      <c r="AK403" s="140"/>
      <c r="AL403" s="140"/>
      <c r="AM403" s="140"/>
      <c r="AN403" s="140"/>
      <c r="AO403" s="140"/>
      <c r="AP403" s="140"/>
      <c r="AQ403" s="138"/>
      <c r="AR403" s="140"/>
      <c r="AS403" s="140"/>
      <c r="AT403" s="140"/>
      <c r="AU403" s="140"/>
      <c r="AV403" s="138"/>
      <c r="AW403" s="138"/>
      <c r="AX403" s="140"/>
      <c r="AY403" s="140"/>
      <c r="AZ403" s="140"/>
      <c r="BA403" s="140"/>
      <c r="BB403" s="140"/>
      <c r="BC403" s="140"/>
    </row>
    <row r="404" ht="15.75" customHeight="1">
      <c r="C404" s="137"/>
      <c r="D404" s="138"/>
      <c r="E404" s="138"/>
      <c r="F404" s="138"/>
      <c r="J404" s="138"/>
      <c r="K404" s="138"/>
      <c r="L404" s="138"/>
      <c r="M404" s="139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32"/>
      <c r="AE404" s="140"/>
      <c r="AF404" s="140"/>
      <c r="AG404" s="140"/>
      <c r="AH404" s="140"/>
      <c r="AI404" s="140"/>
      <c r="AJ404" s="141"/>
      <c r="AK404" s="140"/>
      <c r="AL404" s="140"/>
      <c r="AM404" s="140"/>
      <c r="AN404" s="140"/>
      <c r="AO404" s="140"/>
      <c r="AP404" s="140"/>
      <c r="AQ404" s="138"/>
      <c r="AR404" s="140"/>
      <c r="AS404" s="140"/>
      <c r="AT404" s="140"/>
      <c r="AU404" s="140"/>
      <c r="AV404" s="138"/>
      <c r="AW404" s="138"/>
      <c r="AX404" s="140"/>
      <c r="AY404" s="140"/>
      <c r="AZ404" s="140"/>
      <c r="BA404" s="140"/>
      <c r="BB404" s="140"/>
      <c r="BC404" s="140"/>
    </row>
    <row r="405" ht="15.75" customHeight="1">
      <c r="C405" s="137"/>
      <c r="D405" s="138"/>
      <c r="E405" s="138"/>
      <c r="F405" s="138"/>
      <c r="J405" s="138"/>
      <c r="K405" s="138"/>
      <c r="L405" s="138"/>
      <c r="M405" s="139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32"/>
      <c r="AE405" s="140"/>
      <c r="AF405" s="140"/>
      <c r="AG405" s="140"/>
      <c r="AH405" s="140"/>
      <c r="AI405" s="140"/>
      <c r="AJ405" s="141"/>
      <c r="AK405" s="140"/>
      <c r="AL405" s="140"/>
      <c r="AM405" s="140"/>
      <c r="AN405" s="140"/>
      <c r="AO405" s="140"/>
      <c r="AP405" s="140"/>
      <c r="AQ405" s="138"/>
      <c r="AR405" s="140"/>
      <c r="AS405" s="140"/>
      <c r="AT405" s="140"/>
      <c r="AU405" s="140"/>
      <c r="AV405" s="138"/>
      <c r="AW405" s="138"/>
      <c r="AX405" s="140"/>
      <c r="AY405" s="140"/>
      <c r="AZ405" s="140"/>
      <c r="BA405" s="140"/>
      <c r="BB405" s="140"/>
      <c r="BC405" s="140"/>
    </row>
    <row r="406" ht="15.75" customHeight="1">
      <c r="C406" s="137"/>
      <c r="D406" s="138"/>
      <c r="E406" s="138"/>
      <c r="F406" s="138"/>
      <c r="J406" s="138"/>
      <c r="K406" s="138"/>
      <c r="L406" s="138"/>
      <c r="M406" s="139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32"/>
      <c r="AE406" s="140"/>
      <c r="AF406" s="140"/>
      <c r="AG406" s="140"/>
      <c r="AH406" s="140"/>
      <c r="AI406" s="140"/>
      <c r="AJ406" s="141"/>
      <c r="AK406" s="140"/>
      <c r="AL406" s="140"/>
      <c r="AM406" s="140"/>
      <c r="AN406" s="140"/>
      <c r="AO406" s="140"/>
      <c r="AP406" s="140"/>
      <c r="AQ406" s="138"/>
      <c r="AR406" s="140"/>
      <c r="AS406" s="140"/>
      <c r="AT406" s="140"/>
      <c r="AU406" s="140"/>
      <c r="AV406" s="138"/>
      <c r="AW406" s="138"/>
      <c r="AX406" s="140"/>
      <c r="AY406" s="140"/>
      <c r="AZ406" s="140"/>
      <c r="BA406" s="140"/>
      <c r="BB406" s="140"/>
      <c r="BC406" s="140"/>
    </row>
    <row r="407" ht="15.75" customHeight="1">
      <c r="C407" s="137"/>
      <c r="D407" s="138"/>
      <c r="E407" s="138"/>
      <c r="F407" s="138"/>
      <c r="J407" s="138"/>
      <c r="K407" s="138"/>
      <c r="L407" s="138"/>
      <c r="M407" s="139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32"/>
      <c r="AE407" s="140"/>
      <c r="AF407" s="140"/>
      <c r="AG407" s="140"/>
      <c r="AH407" s="140"/>
      <c r="AI407" s="140"/>
      <c r="AJ407" s="141"/>
      <c r="AK407" s="140"/>
      <c r="AL407" s="140"/>
      <c r="AM407" s="140"/>
      <c r="AN407" s="140"/>
      <c r="AO407" s="140"/>
      <c r="AP407" s="140"/>
      <c r="AQ407" s="138"/>
      <c r="AR407" s="140"/>
      <c r="AS407" s="140"/>
      <c r="AT407" s="140"/>
      <c r="AU407" s="140"/>
      <c r="AV407" s="138"/>
      <c r="AW407" s="138"/>
      <c r="AX407" s="140"/>
      <c r="AY407" s="140"/>
      <c r="AZ407" s="140"/>
      <c r="BA407" s="140"/>
      <c r="BB407" s="140"/>
      <c r="BC407" s="140"/>
    </row>
    <row r="408" ht="15.75" customHeight="1">
      <c r="C408" s="137"/>
      <c r="D408" s="138"/>
      <c r="E408" s="138"/>
      <c r="F408" s="138"/>
      <c r="J408" s="138"/>
      <c r="K408" s="138"/>
      <c r="L408" s="138"/>
      <c r="M408" s="139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32"/>
      <c r="AE408" s="140"/>
      <c r="AF408" s="140"/>
      <c r="AG408" s="140"/>
      <c r="AH408" s="140"/>
      <c r="AI408" s="140"/>
      <c r="AJ408" s="141"/>
      <c r="AK408" s="140"/>
      <c r="AL408" s="140"/>
      <c r="AM408" s="140"/>
      <c r="AN408" s="140"/>
      <c r="AO408" s="140"/>
      <c r="AP408" s="140"/>
      <c r="AQ408" s="138"/>
      <c r="AR408" s="140"/>
      <c r="AS408" s="140"/>
      <c r="AT408" s="140"/>
      <c r="AU408" s="140"/>
      <c r="AV408" s="138"/>
      <c r="AW408" s="138"/>
      <c r="AX408" s="140"/>
      <c r="AY408" s="140"/>
      <c r="AZ408" s="140"/>
      <c r="BA408" s="140"/>
      <c r="BB408" s="140"/>
      <c r="BC408" s="140"/>
    </row>
    <row r="409" ht="15.75" customHeight="1">
      <c r="C409" s="137"/>
      <c r="D409" s="138"/>
      <c r="E409" s="138"/>
      <c r="F409" s="138"/>
      <c r="J409" s="138"/>
      <c r="K409" s="138"/>
      <c r="L409" s="138"/>
      <c r="M409" s="139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32"/>
      <c r="AE409" s="140"/>
      <c r="AF409" s="140"/>
      <c r="AG409" s="140"/>
      <c r="AH409" s="140"/>
      <c r="AI409" s="140"/>
      <c r="AJ409" s="141"/>
      <c r="AK409" s="140"/>
      <c r="AL409" s="140"/>
      <c r="AM409" s="140"/>
      <c r="AN409" s="140"/>
      <c r="AO409" s="140"/>
      <c r="AP409" s="140"/>
      <c r="AQ409" s="138"/>
      <c r="AR409" s="140"/>
      <c r="AS409" s="140"/>
      <c r="AT409" s="140"/>
      <c r="AU409" s="140"/>
      <c r="AV409" s="138"/>
      <c r="AW409" s="138"/>
      <c r="AX409" s="140"/>
      <c r="AY409" s="140"/>
      <c r="AZ409" s="140"/>
      <c r="BA409" s="140"/>
      <c r="BB409" s="140"/>
      <c r="BC409" s="140"/>
    </row>
    <row r="410" ht="15.75" customHeight="1">
      <c r="C410" s="137"/>
      <c r="D410" s="138"/>
      <c r="E410" s="138"/>
      <c r="F410" s="138"/>
      <c r="J410" s="138"/>
      <c r="K410" s="138"/>
      <c r="L410" s="138"/>
      <c r="M410" s="139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32"/>
      <c r="AE410" s="140"/>
      <c r="AF410" s="140"/>
      <c r="AG410" s="140"/>
      <c r="AH410" s="140"/>
      <c r="AI410" s="140"/>
      <c r="AJ410" s="141"/>
      <c r="AK410" s="140"/>
      <c r="AL410" s="140"/>
      <c r="AM410" s="140"/>
      <c r="AN410" s="140"/>
      <c r="AO410" s="140"/>
      <c r="AP410" s="140"/>
      <c r="AQ410" s="138"/>
      <c r="AR410" s="140"/>
      <c r="AS410" s="140"/>
      <c r="AT410" s="140"/>
      <c r="AU410" s="140"/>
      <c r="AV410" s="138"/>
      <c r="AW410" s="138"/>
      <c r="AX410" s="140"/>
      <c r="AY410" s="140"/>
      <c r="AZ410" s="140"/>
      <c r="BA410" s="140"/>
      <c r="BB410" s="140"/>
      <c r="BC410" s="140"/>
    </row>
    <row r="411" ht="15.75" customHeight="1">
      <c r="C411" s="137"/>
      <c r="D411" s="138"/>
      <c r="E411" s="138"/>
      <c r="F411" s="138"/>
      <c r="J411" s="138"/>
      <c r="K411" s="138"/>
      <c r="L411" s="138"/>
      <c r="M411" s="139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32"/>
      <c r="AE411" s="140"/>
      <c r="AF411" s="140"/>
      <c r="AG411" s="140"/>
      <c r="AH411" s="140"/>
      <c r="AI411" s="140"/>
      <c r="AJ411" s="141"/>
      <c r="AK411" s="140"/>
      <c r="AL411" s="140"/>
      <c r="AM411" s="140"/>
      <c r="AN411" s="140"/>
      <c r="AO411" s="140"/>
      <c r="AP411" s="140"/>
      <c r="AQ411" s="138"/>
      <c r="AR411" s="140"/>
      <c r="AS411" s="140"/>
      <c r="AT411" s="140"/>
      <c r="AU411" s="140"/>
      <c r="AV411" s="138"/>
      <c r="AW411" s="138"/>
      <c r="AX411" s="140"/>
      <c r="AY411" s="140"/>
      <c r="AZ411" s="140"/>
      <c r="BA411" s="140"/>
      <c r="BB411" s="140"/>
      <c r="BC411" s="140"/>
    </row>
    <row r="412" ht="15.75" customHeight="1">
      <c r="C412" s="137"/>
      <c r="D412" s="138"/>
      <c r="E412" s="138"/>
      <c r="F412" s="138"/>
      <c r="J412" s="138"/>
      <c r="K412" s="138"/>
      <c r="L412" s="138"/>
      <c r="M412" s="139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32"/>
      <c r="AE412" s="140"/>
      <c r="AF412" s="140"/>
      <c r="AG412" s="140"/>
      <c r="AH412" s="140"/>
      <c r="AI412" s="140"/>
      <c r="AJ412" s="141"/>
      <c r="AK412" s="140"/>
      <c r="AL412" s="140"/>
      <c r="AM412" s="140"/>
      <c r="AN412" s="140"/>
      <c r="AO412" s="140"/>
      <c r="AP412" s="140"/>
      <c r="AQ412" s="138"/>
      <c r="AR412" s="140"/>
      <c r="AS412" s="140"/>
      <c r="AT412" s="140"/>
      <c r="AU412" s="140"/>
      <c r="AV412" s="138"/>
      <c r="AW412" s="138"/>
      <c r="AX412" s="140"/>
      <c r="AY412" s="140"/>
      <c r="AZ412" s="140"/>
      <c r="BA412" s="140"/>
      <c r="BB412" s="140"/>
      <c r="BC412" s="140"/>
    </row>
    <row r="413" ht="15.75" customHeight="1">
      <c r="C413" s="137"/>
      <c r="D413" s="138"/>
      <c r="E413" s="138"/>
      <c r="F413" s="138"/>
      <c r="J413" s="138"/>
      <c r="K413" s="138"/>
      <c r="L413" s="138"/>
      <c r="M413" s="139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32"/>
      <c r="AE413" s="140"/>
      <c r="AF413" s="140"/>
      <c r="AG413" s="140"/>
      <c r="AH413" s="140"/>
      <c r="AI413" s="140"/>
      <c r="AJ413" s="141"/>
      <c r="AK413" s="140"/>
      <c r="AL413" s="140"/>
      <c r="AM413" s="140"/>
      <c r="AN413" s="140"/>
      <c r="AO413" s="140"/>
      <c r="AP413" s="140"/>
      <c r="AQ413" s="138"/>
      <c r="AR413" s="140"/>
      <c r="AS413" s="140"/>
      <c r="AT413" s="140"/>
      <c r="AU413" s="140"/>
      <c r="AV413" s="138"/>
      <c r="AW413" s="138"/>
      <c r="AX413" s="140"/>
      <c r="AY413" s="140"/>
      <c r="AZ413" s="140"/>
      <c r="BA413" s="140"/>
      <c r="BB413" s="140"/>
      <c r="BC413" s="140"/>
    </row>
    <row r="414" ht="15.75" customHeight="1">
      <c r="C414" s="137"/>
      <c r="D414" s="138"/>
      <c r="E414" s="138"/>
      <c r="F414" s="138"/>
      <c r="J414" s="138"/>
      <c r="K414" s="138"/>
      <c r="L414" s="138"/>
      <c r="M414" s="139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32"/>
      <c r="AE414" s="140"/>
      <c r="AF414" s="140"/>
      <c r="AG414" s="140"/>
      <c r="AH414" s="140"/>
      <c r="AI414" s="140"/>
      <c r="AJ414" s="141"/>
      <c r="AK414" s="140"/>
      <c r="AL414" s="140"/>
      <c r="AM414" s="140"/>
      <c r="AN414" s="140"/>
      <c r="AO414" s="140"/>
      <c r="AP414" s="140"/>
      <c r="AQ414" s="138"/>
      <c r="AR414" s="140"/>
      <c r="AS414" s="140"/>
      <c r="AT414" s="140"/>
      <c r="AU414" s="140"/>
      <c r="AV414" s="138"/>
      <c r="AW414" s="138"/>
      <c r="AX414" s="140"/>
      <c r="AY414" s="140"/>
      <c r="AZ414" s="140"/>
      <c r="BA414" s="140"/>
      <c r="BB414" s="140"/>
      <c r="BC414" s="140"/>
    </row>
    <row r="415" ht="15.75" customHeight="1">
      <c r="C415" s="137"/>
      <c r="D415" s="138"/>
      <c r="E415" s="138"/>
      <c r="F415" s="138"/>
      <c r="J415" s="138"/>
      <c r="K415" s="138"/>
      <c r="L415" s="138"/>
      <c r="M415" s="139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32"/>
      <c r="AE415" s="140"/>
      <c r="AF415" s="140"/>
      <c r="AG415" s="140"/>
      <c r="AH415" s="140"/>
      <c r="AI415" s="140"/>
      <c r="AJ415" s="141"/>
      <c r="AK415" s="140"/>
      <c r="AL415" s="140"/>
      <c r="AM415" s="140"/>
      <c r="AN415" s="140"/>
      <c r="AO415" s="140"/>
      <c r="AP415" s="140"/>
      <c r="AQ415" s="138"/>
      <c r="AR415" s="140"/>
      <c r="AS415" s="140"/>
      <c r="AT415" s="140"/>
      <c r="AU415" s="140"/>
      <c r="AV415" s="138"/>
      <c r="AW415" s="138"/>
      <c r="AX415" s="140"/>
      <c r="AY415" s="140"/>
      <c r="AZ415" s="140"/>
      <c r="BA415" s="140"/>
      <c r="BB415" s="140"/>
      <c r="BC415" s="140"/>
    </row>
    <row r="416" ht="15.75" customHeight="1">
      <c r="C416" s="137"/>
      <c r="D416" s="138"/>
      <c r="E416" s="138"/>
      <c r="F416" s="138"/>
      <c r="J416" s="138"/>
      <c r="K416" s="138"/>
      <c r="L416" s="138"/>
      <c r="M416" s="139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32"/>
      <c r="AE416" s="140"/>
      <c r="AF416" s="140"/>
      <c r="AG416" s="140"/>
      <c r="AH416" s="140"/>
      <c r="AI416" s="140"/>
      <c r="AJ416" s="141"/>
      <c r="AK416" s="140"/>
      <c r="AL416" s="140"/>
      <c r="AM416" s="140"/>
      <c r="AN416" s="140"/>
      <c r="AO416" s="140"/>
      <c r="AP416" s="140"/>
      <c r="AQ416" s="138"/>
      <c r="AR416" s="140"/>
      <c r="AS416" s="140"/>
      <c r="AT416" s="140"/>
      <c r="AU416" s="140"/>
      <c r="AV416" s="138"/>
      <c r="AW416" s="138"/>
      <c r="AX416" s="140"/>
      <c r="AY416" s="140"/>
      <c r="AZ416" s="140"/>
      <c r="BA416" s="140"/>
      <c r="BB416" s="140"/>
      <c r="BC416" s="140"/>
    </row>
    <row r="417" ht="15.75" customHeight="1">
      <c r="C417" s="137"/>
      <c r="D417" s="138"/>
      <c r="E417" s="138"/>
      <c r="F417" s="138"/>
      <c r="J417" s="138"/>
      <c r="K417" s="138"/>
      <c r="L417" s="138"/>
      <c r="M417" s="139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32"/>
      <c r="AE417" s="140"/>
      <c r="AF417" s="140"/>
      <c r="AG417" s="140"/>
      <c r="AH417" s="140"/>
      <c r="AI417" s="140"/>
      <c r="AJ417" s="141"/>
      <c r="AK417" s="140"/>
      <c r="AL417" s="140"/>
      <c r="AM417" s="140"/>
      <c r="AN417" s="140"/>
      <c r="AO417" s="140"/>
      <c r="AP417" s="140"/>
      <c r="AQ417" s="138"/>
      <c r="AR417" s="140"/>
      <c r="AS417" s="140"/>
      <c r="AT417" s="140"/>
      <c r="AU417" s="140"/>
      <c r="AV417" s="138"/>
      <c r="AW417" s="138"/>
      <c r="AX417" s="140"/>
      <c r="AY417" s="140"/>
      <c r="AZ417" s="140"/>
      <c r="BA417" s="140"/>
      <c r="BB417" s="140"/>
      <c r="BC417" s="140"/>
    </row>
    <row r="418" ht="15.75" customHeight="1">
      <c r="C418" s="137"/>
      <c r="D418" s="138"/>
      <c r="E418" s="138"/>
      <c r="F418" s="138"/>
      <c r="J418" s="138"/>
      <c r="K418" s="138"/>
      <c r="L418" s="138"/>
      <c r="M418" s="139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32"/>
      <c r="AE418" s="140"/>
      <c r="AF418" s="140"/>
      <c r="AG418" s="140"/>
      <c r="AH418" s="140"/>
      <c r="AI418" s="140"/>
      <c r="AJ418" s="141"/>
      <c r="AK418" s="140"/>
      <c r="AL418" s="140"/>
      <c r="AM418" s="140"/>
      <c r="AN418" s="140"/>
      <c r="AO418" s="140"/>
      <c r="AP418" s="140"/>
      <c r="AQ418" s="138"/>
      <c r="AR418" s="140"/>
      <c r="AS418" s="140"/>
      <c r="AT418" s="140"/>
      <c r="AU418" s="140"/>
      <c r="AV418" s="138"/>
      <c r="AW418" s="138"/>
      <c r="AX418" s="140"/>
      <c r="AY418" s="140"/>
      <c r="AZ418" s="140"/>
      <c r="BA418" s="140"/>
      <c r="BB418" s="140"/>
      <c r="BC418" s="140"/>
    </row>
    <row r="419" ht="15.75" customHeight="1">
      <c r="C419" s="137"/>
      <c r="D419" s="138"/>
      <c r="E419" s="138"/>
      <c r="F419" s="138"/>
      <c r="J419" s="138"/>
      <c r="K419" s="138"/>
      <c r="L419" s="138"/>
      <c r="M419" s="139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32"/>
      <c r="AE419" s="140"/>
      <c r="AF419" s="140"/>
      <c r="AG419" s="140"/>
      <c r="AH419" s="140"/>
      <c r="AI419" s="140"/>
      <c r="AJ419" s="141"/>
      <c r="AK419" s="140"/>
      <c r="AL419" s="140"/>
      <c r="AM419" s="140"/>
      <c r="AN419" s="140"/>
      <c r="AO419" s="140"/>
      <c r="AP419" s="140"/>
      <c r="AQ419" s="138"/>
      <c r="AR419" s="140"/>
      <c r="AS419" s="140"/>
      <c r="AT419" s="140"/>
      <c r="AU419" s="140"/>
      <c r="AV419" s="138"/>
      <c r="AW419" s="138"/>
      <c r="AX419" s="140"/>
      <c r="AY419" s="140"/>
      <c r="AZ419" s="140"/>
      <c r="BA419" s="140"/>
      <c r="BB419" s="140"/>
      <c r="BC419" s="140"/>
    </row>
    <row r="420" ht="15.75" customHeight="1">
      <c r="C420" s="137"/>
      <c r="D420" s="138"/>
      <c r="E420" s="138"/>
      <c r="F420" s="138"/>
      <c r="J420" s="138"/>
      <c r="K420" s="138"/>
      <c r="L420" s="138"/>
      <c r="M420" s="139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32"/>
      <c r="AE420" s="140"/>
      <c r="AF420" s="140"/>
      <c r="AG420" s="140"/>
      <c r="AH420" s="140"/>
      <c r="AI420" s="140"/>
      <c r="AJ420" s="141"/>
      <c r="AK420" s="140"/>
      <c r="AL420" s="140"/>
      <c r="AM420" s="140"/>
      <c r="AN420" s="140"/>
      <c r="AO420" s="140"/>
      <c r="AP420" s="140"/>
      <c r="AQ420" s="138"/>
      <c r="AR420" s="140"/>
      <c r="AS420" s="140"/>
      <c r="AT420" s="140"/>
      <c r="AU420" s="140"/>
      <c r="AV420" s="138"/>
      <c r="AW420" s="138"/>
      <c r="AX420" s="140"/>
      <c r="AY420" s="140"/>
      <c r="AZ420" s="140"/>
      <c r="BA420" s="140"/>
      <c r="BB420" s="140"/>
      <c r="BC420" s="140"/>
    </row>
    <row r="421" ht="15.75" customHeight="1">
      <c r="C421" s="137"/>
      <c r="D421" s="138"/>
      <c r="E421" s="138"/>
      <c r="F421" s="138"/>
      <c r="J421" s="138"/>
      <c r="K421" s="138"/>
      <c r="L421" s="138"/>
      <c r="M421" s="139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32"/>
      <c r="AE421" s="140"/>
      <c r="AF421" s="140"/>
      <c r="AG421" s="140"/>
      <c r="AH421" s="140"/>
      <c r="AI421" s="140"/>
      <c r="AJ421" s="141"/>
      <c r="AK421" s="140"/>
      <c r="AL421" s="140"/>
      <c r="AM421" s="140"/>
      <c r="AN421" s="140"/>
      <c r="AO421" s="140"/>
      <c r="AP421" s="140"/>
      <c r="AQ421" s="138"/>
      <c r="AR421" s="140"/>
      <c r="AS421" s="140"/>
      <c r="AT421" s="140"/>
      <c r="AU421" s="140"/>
      <c r="AV421" s="138"/>
      <c r="AW421" s="138"/>
      <c r="AX421" s="140"/>
      <c r="AY421" s="140"/>
      <c r="AZ421" s="140"/>
      <c r="BA421" s="140"/>
      <c r="BB421" s="140"/>
      <c r="BC421" s="140"/>
    </row>
    <row r="422" ht="15.75" customHeight="1">
      <c r="C422" s="137"/>
      <c r="D422" s="138"/>
      <c r="E422" s="138"/>
      <c r="F422" s="138"/>
      <c r="J422" s="138"/>
      <c r="K422" s="138"/>
      <c r="L422" s="138"/>
      <c r="M422" s="139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32"/>
      <c r="AE422" s="140"/>
      <c r="AF422" s="140"/>
      <c r="AG422" s="140"/>
      <c r="AH422" s="140"/>
      <c r="AI422" s="140"/>
      <c r="AJ422" s="141"/>
      <c r="AK422" s="140"/>
      <c r="AL422" s="140"/>
      <c r="AM422" s="140"/>
      <c r="AN422" s="140"/>
      <c r="AO422" s="140"/>
      <c r="AP422" s="140"/>
      <c r="AQ422" s="138"/>
      <c r="AR422" s="140"/>
      <c r="AS422" s="140"/>
      <c r="AT422" s="140"/>
      <c r="AU422" s="140"/>
      <c r="AV422" s="138"/>
      <c r="AW422" s="138"/>
      <c r="AX422" s="140"/>
      <c r="AY422" s="140"/>
      <c r="AZ422" s="140"/>
      <c r="BA422" s="140"/>
      <c r="BB422" s="140"/>
      <c r="BC422" s="140"/>
    </row>
    <row r="423" ht="15.75" customHeight="1">
      <c r="C423" s="137"/>
      <c r="D423" s="138"/>
      <c r="E423" s="138"/>
      <c r="F423" s="138"/>
      <c r="J423" s="138"/>
      <c r="K423" s="138"/>
      <c r="L423" s="138"/>
      <c r="M423" s="139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32"/>
      <c r="AE423" s="140"/>
      <c r="AF423" s="140"/>
      <c r="AG423" s="140"/>
      <c r="AH423" s="140"/>
      <c r="AI423" s="140"/>
      <c r="AJ423" s="141"/>
      <c r="AK423" s="140"/>
      <c r="AL423" s="140"/>
      <c r="AM423" s="140"/>
      <c r="AN423" s="140"/>
      <c r="AO423" s="140"/>
      <c r="AP423" s="140"/>
      <c r="AQ423" s="138"/>
      <c r="AR423" s="140"/>
      <c r="AS423" s="140"/>
      <c r="AT423" s="140"/>
      <c r="AU423" s="140"/>
      <c r="AV423" s="138"/>
      <c r="AW423" s="138"/>
      <c r="AX423" s="140"/>
      <c r="AY423" s="140"/>
      <c r="AZ423" s="140"/>
      <c r="BA423" s="140"/>
      <c r="BB423" s="140"/>
      <c r="BC423" s="140"/>
    </row>
    <row r="424" ht="15.75" customHeight="1">
      <c r="C424" s="137"/>
      <c r="D424" s="138"/>
      <c r="E424" s="138"/>
      <c r="F424" s="138"/>
      <c r="J424" s="138"/>
      <c r="K424" s="138"/>
      <c r="L424" s="138"/>
      <c r="M424" s="139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32"/>
      <c r="AE424" s="140"/>
      <c r="AF424" s="140"/>
      <c r="AG424" s="140"/>
      <c r="AH424" s="140"/>
      <c r="AI424" s="140"/>
      <c r="AJ424" s="141"/>
      <c r="AK424" s="140"/>
      <c r="AL424" s="140"/>
      <c r="AM424" s="140"/>
      <c r="AN424" s="140"/>
      <c r="AO424" s="140"/>
      <c r="AP424" s="140"/>
      <c r="AQ424" s="138"/>
      <c r="AR424" s="140"/>
      <c r="AS424" s="140"/>
      <c r="AT424" s="140"/>
      <c r="AU424" s="140"/>
      <c r="AV424" s="138"/>
      <c r="AW424" s="138"/>
      <c r="AX424" s="140"/>
      <c r="AY424" s="140"/>
      <c r="AZ424" s="140"/>
      <c r="BA424" s="140"/>
      <c r="BB424" s="140"/>
      <c r="BC424" s="140"/>
    </row>
    <row r="425" ht="15.75" customHeight="1">
      <c r="C425" s="137"/>
      <c r="D425" s="138"/>
      <c r="E425" s="138"/>
      <c r="F425" s="138"/>
      <c r="J425" s="138"/>
      <c r="K425" s="138"/>
      <c r="L425" s="138"/>
      <c r="M425" s="139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32"/>
      <c r="AE425" s="140"/>
      <c r="AF425" s="140"/>
      <c r="AG425" s="140"/>
      <c r="AH425" s="140"/>
      <c r="AI425" s="140"/>
      <c r="AJ425" s="141"/>
      <c r="AK425" s="140"/>
      <c r="AL425" s="140"/>
      <c r="AM425" s="140"/>
      <c r="AN425" s="140"/>
      <c r="AO425" s="140"/>
      <c r="AP425" s="140"/>
      <c r="AQ425" s="138"/>
      <c r="AR425" s="140"/>
      <c r="AS425" s="140"/>
      <c r="AT425" s="140"/>
      <c r="AU425" s="140"/>
      <c r="AV425" s="138"/>
      <c r="AW425" s="138"/>
      <c r="AX425" s="140"/>
      <c r="AY425" s="140"/>
      <c r="AZ425" s="140"/>
      <c r="BA425" s="140"/>
      <c r="BB425" s="140"/>
      <c r="BC425" s="140"/>
    </row>
    <row r="426" ht="15.75" customHeight="1">
      <c r="C426" s="137"/>
      <c r="D426" s="138"/>
      <c r="E426" s="138"/>
      <c r="F426" s="138"/>
      <c r="J426" s="138"/>
      <c r="K426" s="138"/>
      <c r="L426" s="138"/>
      <c r="M426" s="139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32"/>
      <c r="AE426" s="140"/>
      <c r="AF426" s="140"/>
      <c r="AG426" s="140"/>
      <c r="AH426" s="140"/>
      <c r="AI426" s="140"/>
      <c r="AJ426" s="141"/>
      <c r="AK426" s="140"/>
      <c r="AL426" s="140"/>
      <c r="AM426" s="140"/>
      <c r="AN426" s="140"/>
      <c r="AO426" s="140"/>
      <c r="AP426" s="140"/>
      <c r="AQ426" s="138"/>
      <c r="AR426" s="140"/>
      <c r="AS426" s="140"/>
      <c r="AT426" s="140"/>
      <c r="AU426" s="140"/>
      <c r="AV426" s="138"/>
      <c r="AW426" s="138"/>
      <c r="AX426" s="140"/>
      <c r="AY426" s="140"/>
      <c r="AZ426" s="140"/>
      <c r="BA426" s="140"/>
      <c r="BB426" s="140"/>
      <c r="BC426" s="140"/>
    </row>
    <row r="427" ht="15.75" customHeight="1">
      <c r="C427" s="137"/>
      <c r="D427" s="138"/>
      <c r="E427" s="138"/>
      <c r="F427" s="138"/>
      <c r="J427" s="138"/>
      <c r="K427" s="138"/>
      <c r="L427" s="138"/>
      <c r="M427" s="139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32"/>
      <c r="AE427" s="140"/>
      <c r="AF427" s="140"/>
      <c r="AG427" s="140"/>
      <c r="AH427" s="140"/>
      <c r="AI427" s="140"/>
      <c r="AJ427" s="141"/>
      <c r="AK427" s="140"/>
      <c r="AL427" s="140"/>
      <c r="AM427" s="140"/>
      <c r="AN427" s="140"/>
      <c r="AO427" s="140"/>
      <c r="AP427" s="140"/>
      <c r="AQ427" s="138"/>
      <c r="AR427" s="140"/>
      <c r="AS427" s="140"/>
      <c r="AT427" s="140"/>
      <c r="AU427" s="140"/>
      <c r="AV427" s="138"/>
      <c r="AW427" s="138"/>
      <c r="AX427" s="140"/>
      <c r="AY427" s="140"/>
      <c r="AZ427" s="140"/>
      <c r="BA427" s="140"/>
      <c r="BB427" s="140"/>
      <c r="BC427" s="140"/>
    </row>
    <row r="428" ht="15.75" customHeight="1">
      <c r="C428" s="137"/>
      <c r="D428" s="138"/>
      <c r="E428" s="138"/>
      <c r="F428" s="138"/>
      <c r="J428" s="138"/>
      <c r="K428" s="138"/>
      <c r="L428" s="138"/>
      <c r="M428" s="139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32"/>
      <c r="AE428" s="140"/>
      <c r="AF428" s="140"/>
      <c r="AG428" s="140"/>
      <c r="AH428" s="140"/>
      <c r="AI428" s="140"/>
      <c r="AJ428" s="141"/>
      <c r="AK428" s="140"/>
      <c r="AL428" s="140"/>
      <c r="AM428" s="140"/>
      <c r="AN428" s="140"/>
      <c r="AO428" s="140"/>
      <c r="AP428" s="140"/>
      <c r="AQ428" s="138"/>
      <c r="AR428" s="140"/>
      <c r="AS428" s="140"/>
      <c r="AT428" s="140"/>
      <c r="AU428" s="140"/>
      <c r="AV428" s="138"/>
      <c r="AW428" s="138"/>
      <c r="AX428" s="140"/>
      <c r="AY428" s="140"/>
      <c r="AZ428" s="140"/>
      <c r="BA428" s="140"/>
      <c r="BB428" s="140"/>
      <c r="BC428" s="140"/>
    </row>
    <row r="429" ht="15.75" customHeight="1">
      <c r="C429" s="137"/>
      <c r="D429" s="138"/>
      <c r="E429" s="138"/>
      <c r="F429" s="138"/>
      <c r="J429" s="138"/>
      <c r="K429" s="138"/>
      <c r="L429" s="138"/>
      <c r="M429" s="139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32"/>
      <c r="AE429" s="140"/>
      <c r="AF429" s="140"/>
      <c r="AG429" s="140"/>
      <c r="AH429" s="140"/>
      <c r="AI429" s="140"/>
      <c r="AJ429" s="141"/>
      <c r="AK429" s="140"/>
      <c r="AL429" s="140"/>
      <c r="AM429" s="140"/>
      <c r="AN429" s="140"/>
      <c r="AO429" s="140"/>
      <c r="AP429" s="140"/>
      <c r="AQ429" s="138"/>
      <c r="AR429" s="140"/>
      <c r="AS429" s="140"/>
      <c r="AT429" s="140"/>
      <c r="AU429" s="140"/>
      <c r="AV429" s="138"/>
      <c r="AW429" s="138"/>
      <c r="AX429" s="140"/>
      <c r="AY429" s="140"/>
      <c r="AZ429" s="140"/>
      <c r="BA429" s="140"/>
      <c r="BB429" s="140"/>
      <c r="BC429" s="140"/>
    </row>
    <row r="430" ht="15.75" customHeight="1">
      <c r="C430" s="137"/>
      <c r="D430" s="138"/>
      <c r="E430" s="138"/>
      <c r="F430" s="138"/>
      <c r="J430" s="138"/>
      <c r="K430" s="138"/>
      <c r="L430" s="138"/>
      <c r="M430" s="139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32"/>
      <c r="AE430" s="140"/>
      <c r="AF430" s="140"/>
      <c r="AG430" s="140"/>
      <c r="AH430" s="140"/>
      <c r="AI430" s="140"/>
      <c r="AJ430" s="141"/>
      <c r="AK430" s="140"/>
      <c r="AL430" s="140"/>
      <c r="AM430" s="140"/>
      <c r="AN430" s="140"/>
      <c r="AO430" s="140"/>
      <c r="AP430" s="140"/>
      <c r="AQ430" s="138"/>
      <c r="AR430" s="140"/>
      <c r="AS430" s="140"/>
      <c r="AT430" s="140"/>
      <c r="AU430" s="140"/>
      <c r="AV430" s="138"/>
      <c r="AW430" s="138"/>
      <c r="AX430" s="140"/>
      <c r="AY430" s="140"/>
      <c r="AZ430" s="140"/>
      <c r="BA430" s="140"/>
      <c r="BB430" s="140"/>
      <c r="BC430" s="140"/>
    </row>
    <row r="431" ht="15.75" customHeight="1">
      <c r="C431" s="137"/>
      <c r="D431" s="138"/>
      <c r="E431" s="138"/>
      <c r="F431" s="138"/>
      <c r="J431" s="138"/>
      <c r="K431" s="138"/>
      <c r="L431" s="138"/>
      <c r="M431" s="139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32"/>
      <c r="AE431" s="140"/>
      <c r="AF431" s="140"/>
      <c r="AG431" s="140"/>
      <c r="AH431" s="140"/>
      <c r="AI431" s="140"/>
      <c r="AJ431" s="141"/>
      <c r="AK431" s="140"/>
      <c r="AL431" s="140"/>
      <c r="AM431" s="140"/>
      <c r="AN431" s="140"/>
      <c r="AO431" s="140"/>
      <c r="AP431" s="140"/>
      <c r="AQ431" s="138"/>
      <c r="AR431" s="140"/>
      <c r="AS431" s="140"/>
      <c r="AT431" s="140"/>
      <c r="AU431" s="140"/>
      <c r="AV431" s="138"/>
      <c r="AW431" s="138"/>
      <c r="AX431" s="140"/>
      <c r="AY431" s="140"/>
      <c r="AZ431" s="140"/>
      <c r="BA431" s="140"/>
      <c r="BB431" s="140"/>
      <c r="BC431" s="140"/>
    </row>
    <row r="432" ht="15.75" customHeight="1">
      <c r="C432" s="137"/>
      <c r="D432" s="138"/>
      <c r="E432" s="138"/>
      <c r="F432" s="138"/>
      <c r="J432" s="138"/>
      <c r="K432" s="138"/>
      <c r="L432" s="138"/>
      <c r="M432" s="139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32"/>
      <c r="AE432" s="140"/>
      <c r="AF432" s="140"/>
      <c r="AG432" s="140"/>
      <c r="AH432" s="140"/>
      <c r="AI432" s="140"/>
      <c r="AJ432" s="141"/>
      <c r="AK432" s="140"/>
      <c r="AL432" s="140"/>
      <c r="AM432" s="140"/>
      <c r="AN432" s="140"/>
      <c r="AO432" s="140"/>
      <c r="AP432" s="140"/>
      <c r="AQ432" s="138"/>
      <c r="AR432" s="140"/>
      <c r="AS432" s="140"/>
      <c r="AT432" s="140"/>
      <c r="AU432" s="140"/>
      <c r="AV432" s="138"/>
      <c r="AW432" s="138"/>
      <c r="AX432" s="140"/>
      <c r="AY432" s="140"/>
      <c r="AZ432" s="140"/>
      <c r="BA432" s="140"/>
      <c r="BB432" s="140"/>
      <c r="BC432" s="140"/>
    </row>
    <row r="433" ht="15.75" customHeight="1">
      <c r="C433" s="137"/>
      <c r="D433" s="138"/>
      <c r="E433" s="138"/>
      <c r="F433" s="138"/>
      <c r="J433" s="138"/>
      <c r="K433" s="138"/>
      <c r="L433" s="138"/>
      <c r="M433" s="139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32"/>
      <c r="AE433" s="140"/>
      <c r="AF433" s="140"/>
      <c r="AG433" s="140"/>
      <c r="AH433" s="140"/>
      <c r="AI433" s="140"/>
      <c r="AJ433" s="141"/>
      <c r="AK433" s="140"/>
      <c r="AL433" s="140"/>
      <c r="AM433" s="140"/>
      <c r="AN433" s="140"/>
      <c r="AO433" s="140"/>
      <c r="AP433" s="140"/>
      <c r="AQ433" s="138"/>
      <c r="AR433" s="140"/>
      <c r="AS433" s="140"/>
      <c r="AT433" s="140"/>
      <c r="AU433" s="140"/>
      <c r="AV433" s="138"/>
      <c r="AW433" s="138"/>
      <c r="AX433" s="140"/>
      <c r="AY433" s="140"/>
      <c r="AZ433" s="140"/>
      <c r="BA433" s="140"/>
      <c r="BB433" s="140"/>
      <c r="BC433" s="140"/>
    </row>
    <row r="434" ht="15.75" customHeight="1">
      <c r="C434" s="137"/>
      <c r="D434" s="138"/>
      <c r="E434" s="138"/>
      <c r="F434" s="138"/>
      <c r="J434" s="138"/>
      <c r="K434" s="138"/>
      <c r="L434" s="138"/>
      <c r="M434" s="139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32"/>
      <c r="AE434" s="140"/>
      <c r="AF434" s="140"/>
      <c r="AG434" s="140"/>
      <c r="AH434" s="140"/>
      <c r="AI434" s="140"/>
      <c r="AJ434" s="141"/>
      <c r="AK434" s="140"/>
      <c r="AL434" s="140"/>
      <c r="AM434" s="140"/>
      <c r="AN434" s="140"/>
      <c r="AO434" s="140"/>
      <c r="AP434" s="140"/>
      <c r="AQ434" s="138"/>
      <c r="AR434" s="140"/>
      <c r="AS434" s="140"/>
      <c r="AT434" s="140"/>
      <c r="AU434" s="140"/>
      <c r="AV434" s="138"/>
      <c r="AW434" s="138"/>
      <c r="AX434" s="140"/>
      <c r="AY434" s="140"/>
      <c r="AZ434" s="140"/>
      <c r="BA434" s="140"/>
      <c r="BB434" s="140"/>
      <c r="BC434" s="140"/>
    </row>
    <row r="435" ht="15.75" customHeight="1">
      <c r="C435" s="137"/>
      <c r="D435" s="138"/>
      <c r="E435" s="138"/>
      <c r="F435" s="138"/>
      <c r="J435" s="138"/>
      <c r="K435" s="138"/>
      <c r="L435" s="138"/>
      <c r="M435" s="139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32"/>
      <c r="AE435" s="140"/>
      <c r="AF435" s="140"/>
      <c r="AG435" s="140"/>
      <c r="AH435" s="140"/>
      <c r="AI435" s="140"/>
      <c r="AJ435" s="141"/>
      <c r="AK435" s="140"/>
      <c r="AL435" s="140"/>
      <c r="AM435" s="140"/>
      <c r="AN435" s="140"/>
      <c r="AO435" s="140"/>
      <c r="AP435" s="140"/>
      <c r="AQ435" s="138"/>
      <c r="AR435" s="140"/>
      <c r="AS435" s="140"/>
      <c r="AT435" s="140"/>
      <c r="AU435" s="140"/>
      <c r="AV435" s="138"/>
      <c r="AW435" s="138"/>
      <c r="AX435" s="140"/>
      <c r="AY435" s="140"/>
      <c r="AZ435" s="140"/>
      <c r="BA435" s="140"/>
      <c r="BB435" s="140"/>
      <c r="BC435" s="140"/>
    </row>
    <row r="436" ht="15.75" customHeight="1">
      <c r="C436" s="137"/>
      <c r="D436" s="138"/>
      <c r="E436" s="138"/>
      <c r="F436" s="138"/>
      <c r="J436" s="138"/>
      <c r="K436" s="138"/>
      <c r="L436" s="138"/>
      <c r="M436" s="139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32"/>
      <c r="AE436" s="140"/>
      <c r="AF436" s="140"/>
      <c r="AG436" s="140"/>
      <c r="AH436" s="140"/>
      <c r="AI436" s="140"/>
      <c r="AJ436" s="141"/>
      <c r="AK436" s="140"/>
      <c r="AL436" s="140"/>
      <c r="AM436" s="140"/>
      <c r="AN436" s="140"/>
      <c r="AO436" s="140"/>
      <c r="AP436" s="140"/>
      <c r="AQ436" s="138"/>
      <c r="AR436" s="140"/>
      <c r="AS436" s="140"/>
      <c r="AT436" s="140"/>
      <c r="AU436" s="140"/>
      <c r="AV436" s="138"/>
      <c r="AW436" s="138"/>
      <c r="AX436" s="140"/>
      <c r="AY436" s="140"/>
      <c r="AZ436" s="140"/>
      <c r="BA436" s="140"/>
      <c r="BB436" s="140"/>
      <c r="BC436" s="140"/>
    </row>
    <row r="437" ht="15.75" customHeight="1">
      <c r="C437" s="137"/>
      <c r="D437" s="138"/>
      <c r="E437" s="138"/>
      <c r="F437" s="138"/>
      <c r="J437" s="138"/>
      <c r="K437" s="138"/>
      <c r="L437" s="138"/>
      <c r="M437" s="139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32"/>
      <c r="AE437" s="140"/>
      <c r="AF437" s="140"/>
      <c r="AG437" s="140"/>
      <c r="AH437" s="140"/>
      <c r="AI437" s="140"/>
      <c r="AJ437" s="141"/>
      <c r="AK437" s="140"/>
      <c r="AL437" s="140"/>
      <c r="AM437" s="140"/>
      <c r="AN437" s="140"/>
      <c r="AO437" s="140"/>
      <c r="AP437" s="140"/>
      <c r="AQ437" s="138"/>
      <c r="AR437" s="140"/>
      <c r="AS437" s="140"/>
      <c r="AT437" s="140"/>
      <c r="AU437" s="140"/>
      <c r="AV437" s="138"/>
      <c r="AW437" s="138"/>
      <c r="AX437" s="140"/>
      <c r="AY437" s="140"/>
      <c r="AZ437" s="140"/>
      <c r="BA437" s="140"/>
      <c r="BB437" s="140"/>
      <c r="BC437" s="140"/>
    </row>
    <row r="438" ht="15.75" customHeight="1">
      <c r="C438" s="137"/>
      <c r="D438" s="138"/>
      <c r="E438" s="138"/>
      <c r="F438" s="138"/>
      <c r="J438" s="138"/>
      <c r="K438" s="138"/>
      <c r="L438" s="138"/>
      <c r="M438" s="139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32"/>
      <c r="AE438" s="140"/>
      <c r="AF438" s="140"/>
      <c r="AG438" s="140"/>
      <c r="AH438" s="140"/>
      <c r="AI438" s="140"/>
      <c r="AJ438" s="141"/>
      <c r="AK438" s="140"/>
      <c r="AL438" s="140"/>
      <c r="AM438" s="140"/>
      <c r="AN438" s="140"/>
      <c r="AO438" s="140"/>
      <c r="AP438" s="140"/>
      <c r="AQ438" s="138"/>
      <c r="AR438" s="140"/>
      <c r="AS438" s="140"/>
      <c r="AT438" s="140"/>
      <c r="AU438" s="140"/>
      <c r="AV438" s="138"/>
      <c r="AW438" s="138"/>
      <c r="AX438" s="140"/>
      <c r="AY438" s="140"/>
      <c r="AZ438" s="140"/>
      <c r="BA438" s="140"/>
      <c r="BB438" s="140"/>
      <c r="BC438" s="140"/>
    </row>
    <row r="439" ht="15.75" customHeight="1">
      <c r="C439" s="137"/>
      <c r="D439" s="138"/>
      <c r="E439" s="138"/>
      <c r="F439" s="138"/>
      <c r="J439" s="138"/>
      <c r="K439" s="138"/>
      <c r="L439" s="138"/>
      <c r="M439" s="139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32"/>
      <c r="AE439" s="140"/>
      <c r="AF439" s="140"/>
      <c r="AG439" s="140"/>
      <c r="AH439" s="140"/>
      <c r="AI439" s="140"/>
      <c r="AJ439" s="141"/>
      <c r="AK439" s="140"/>
      <c r="AL439" s="140"/>
      <c r="AM439" s="140"/>
      <c r="AN439" s="140"/>
      <c r="AO439" s="140"/>
      <c r="AP439" s="140"/>
      <c r="AQ439" s="138"/>
      <c r="AR439" s="140"/>
      <c r="AS439" s="140"/>
      <c r="AT439" s="140"/>
      <c r="AU439" s="140"/>
      <c r="AV439" s="138"/>
      <c r="AW439" s="138"/>
      <c r="AX439" s="140"/>
      <c r="AY439" s="140"/>
      <c r="AZ439" s="140"/>
      <c r="BA439" s="140"/>
      <c r="BB439" s="140"/>
      <c r="BC439" s="140"/>
    </row>
    <row r="440" ht="15.75" customHeight="1">
      <c r="C440" s="137"/>
      <c r="D440" s="138"/>
      <c r="E440" s="138"/>
      <c r="F440" s="138"/>
      <c r="J440" s="138"/>
      <c r="K440" s="138"/>
      <c r="L440" s="138"/>
      <c r="M440" s="139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32"/>
      <c r="AE440" s="140"/>
      <c r="AF440" s="140"/>
      <c r="AG440" s="140"/>
      <c r="AH440" s="140"/>
      <c r="AI440" s="140"/>
      <c r="AJ440" s="141"/>
      <c r="AK440" s="140"/>
      <c r="AL440" s="140"/>
      <c r="AM440" s="140"/>
      <c r="AN440" s="140"/>
      <c r="AO440" s="140"/>
      <c r="AP440" s="140"/>
      <c r="AQ440" s="138"/>
      <c r="AR440" s="140"/>
      <c r="AS440" s="140"/>
      <c r="AT440" s="140"/>
      <c r="AU440" s="140"/>
      <c r="AV440" s="138"/>
      <c r="AW440" s="138"/>
      <c r="AX440" s="140"/>
      <c r="AY440" s="140"/>
      <c r="AZ440" s="140"/>
      <c r="BA440" s="140"/>
      <c r="BB440" s="140"/>
      <c r="BC440" s="140"/>
    </row>
    <row r="441" ht="15.75" customHeight="1">
      <c r="C441" s="137"/>
      <c r="D441" s="138"/>
      <c r="E441" s="138"/>
      <c r="F441" s="138"/>
      <c r="J441" s="138"/>
      <c r="K441" s="138"/>
      <c r="L441" s="138"/>
      <c r="M441" s="139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32"/>
      <c r="AE441" s="140"/>
      <c r="AF441" s="140"/>
      <c r="AG441" s="140"/>
      <c r="AH441" s="140"/>
      <c r="AI441" s="140"/>
      <c r="AJ441" s="141"/>
      <c r="AK441" s="140"/>
      <c r="AL441" s="140"/>
      <c r="AM441" s="140"/>
      <c r="AN441" s="140"/>
      <c r="AO441" s="140"/>
      <c r="AP441" s="140"/>
      <c r="AQ441" s="138"/>
      <c r="AR441" s="140"/>
      <c r="AS441" s="140"/>
      <c r="AT441" s="140"/>
      <c r="AU441" s="140"/>
      <c r="AV441" s="138"/>
      <c r="AW441" s="138"/>
      <c r="AX441" s="140"/>
      <c r="AY441" s="140"/>
      <c r="AZ441" s="140"/>
      <c r="BA441" s="140"/>
      <c r="BB441" s="140"/>
      <c r="BC441" s="140"/>
    </row>
    <row r="442" ht="15.75" customHeight="1">
      <c r="C442" s="137"/>
      <c r="D442" s="138"/>
      <c r="E442" s="138"/>
      <c r="F442" s="138"/>
      <c r="J442" s="138"/>
      <c r="K442" s="138"/>
      <c r="L442" s="138"/>
      <c r="M442" s="139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32"/>
      <c r="AE442" s="140"/>
      <c r="AF442" s="140"/>
      <c r="AG442" s="140"/>
      <c r="AH442" s="140"/>
      <c r="AI442" s="140"/>
      <c r="AJ442" s="141"/>
      <c r="AK442" s="140"/>
      <c r="AL442" s="140"/>
      <c r="AM442" s="140"/>
      <c r="AN442" s="140"/>
      <c r="AO442" s="140"/>
      <c r="AP442" s="140"/>
      <c r="AQ442" s="138"/>
      <c r="AR442" s="140"/>
      <c r="AS442" s="140"/>
      <c r="AT442" s="140"/>
      <c r="AU442" s="140"/>
      <c r="AV442" s="138"/>
      <c r="AW442" s="138"/>
      <c r="AX442" s="140"/>
      <c r="AY442" s="140"/>
      <c r="AZ442" s="140"/>
      <c r="BA442" s="140"/>
      <c r="BB442" s="140"/>
      <c r="BC442" s="140"/>
    </row>
    <row r="443" ht="15.75" customHeight="1">
      <c r="C443" s="137"/>
      <c r="D443" s="138"/>
      <c r="E443" s="138"/>
      <c r="F443" s="138"/>
      <c r="J443" s="138"/>
      <c r="K443" s="138"/>
      <c r="L443" s="138"/>
      <c r="M443" s="139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32"/>
      <c r="AE443" s="140"/>
      <c r="AF443" s="140"/>
      <c r="AG443" s="140"/>
      <c r="AH443" s="140"/>
      <c r="AI443" s="140"/>
      <c r="AJ443" s="141"/>
      <c r="AK443" s="140"/>
      <c r="AL443" s="140"/>
      <c r="AM443" s="140"/>
      <c r="AN443" s="140"/>
      <c r="AO443" s="140"/>
      <c r="AP443" s="140"/>
      <c r="AQ443" s="138"/>
      <c r="AR443" s="140"/>
      <c r="AS443" s="140"/>
      <c r="AT443" s="140"/>
      <c r="AU443" s="140"/>
      <c r="AV443" s="138"/>
      <c r="AW443" s="138"/>
      <c r="AX443" s="140"/>
      <c r="AY443" s="140"/>
      <c r="AZ443" s="140"/>
      <c r="BA443" s="140"/>
      <c r="BB443" s="140"/>
      <c r="BC443" s="140"/>
    </row>
    <row r="444" ht="15.75" customHeight="1">
      <c r="C444" s="137"/>
      <c r="D444" s="138"/>
      <c r="E444" s="138"/>
      <c r="F444" s="138"/>
      <c r="J444" s="138"/>
      <c r="K444" s="138"/>
      <c r="L444" s="138"/>
      <c r="M444" s="139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32"/>
      <c r="AE444" s="140"/>
      <c r="AF444" s="140"/>
      <c r="AG444" s="140"/>
      <c r="AH444" s="140"/>
      <c r="AI444" s="140"/>
      <c r="AJ444" s="141"/>
      <c r="AK444" s="140"/>
      <c r="AL444" s="140"/>
      <c r="AM444" s="140"/>
      <c r="AN444" s="140"/>
      <c r="AO444" s="140"/>
      <c r="AP444" s="140"/>
      <c r="AQ444" s="138"/>
      <c r="AR444" s="140"/>
      <c r="AS444" s="140"/>
      <c r="AT444" s="140"/>
      <c r="AU444" s="140"/>
      <c r="AV444" s="138"/>
      <c r="AW444" s="138"/>
      <c r="AX444" s="140"/>
      <c r="AY444" s="140"/>
      <c r="AZ444" s="140"/>
      <c r="BA444" s="140"/>
      <c r="BB444" s="140"/>
      <c r="BC444" s="140"/>
    </row>
    <row r="445" ht="15.75" customHeight="1">
      <c r="C445" s="137"/>
      <c r="D445" s="138"/>
      <c r="E445" s="138"/>
      <c r="F445" s="138"/>
      <c r="J445" s="138"/>
      <c r="K445" s="138"/>
      <c r="L445" s="138"/>
      <c r="M445" s="139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32"/>
      <c r="AE445" s="140"/>
      <c r="AF445" s="140"/>
      <c r="AG445" s="140"/>
      <c r="AH445" s="140"/>
      <c r="AI445" s="140"/>
      <c r="AJ445" s="141"/>
      <c r="AK445" s="140"/>
      <c r="AL445" s="140"/>
      <c r="AM445" s="140"/>
      <c r="AN445" s="140"/>
      <c r="AO445" s="140"/>
      <c r="AP445" s="140"/>
      <c r="AQ445" s="138"/>
      <c r="AR445" s="140"/>
      <c r="AS445" s="140"/>
      <c r="AT445" s="140"/>
      <c r="AU445" s="140"/>
      <c r="AV445" s="138"/>
      <c r="AW445" s="138"/>
      <c r="AX445" s="140"/>
      <c r="AY445" s="140"/>
      <c r="AZ445" s="140"/>
      <c r="BA445" s="140"/>
      <c r="BB445" s="140"/>
      <c r="BC445" s="140"/>
    </row>
    <row r="446" ht="15.75" customHeight="1">
      <c r="C446" s="137"/>
      <c r="D446" s="138"/>
      <c r="E446" s="138"/>
      <c r="F446" s="138"/>
      <c r="J446" s="138"/>
      <c r="K446" s="138"/>
      <c r="L446" s="138"/>
      <c r="M446" s="139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32"/>
      <c r="AE446" s="140"/>
      <c r="AF446" s="140"/>
      <c r="AG446" s="140"/>
      <c r="AH446" s="140"/>
      <c r="AI446" s="140"/>
      <c r="AJ446" s="141"/>
      <c r="AK446" s="140"/>
      <c r="AL446" s="140"/>
      <c r="AM446" s="140"/>
      <c r="AN446" s="140"/>
      <c r="AO446" s="140"/>
      <c r="AP446" s="140"/>
      <c r="AQ446" s="138"/>
      <c r="AR446" s="140"/>
      <c r="AS446" s="140"/>
      <c r="AT446" s="140"/>
      <c r="AU446" s="140"/>
      <c r="AV446" s="138"/>
      <c r="AW446" s="138"/>
      <c r="AX446" s="140"/>
      <c r="AY446" s="140"/>
      <c r="AZ446" s="140"/>
      <c r="BA446" s="140"/>
      <c r="BB446" s="140"/>
      <c r="BC446" s="140"/>
    </row>
    <row r="447" ht="15.75" customHeight="1">
      <c r="C447" s="137"/>
      <c r="D447" s="138"/>
      <c r="E447" s="138"/>
      <c r="F447" s="138"/>
      <c r="J447" s="138"/>
      <c r="K447" s="138"/>
      <c r="L447" s="138"/>
      <c r="M447" s="139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32"/>
      <c r="AE447" s="140"/>
      <c r="AF447" s="140"/>
      <c r="AG447" s="140"/>
      <c r="AH447" s="140"/>
      <c r="AI447" s="140"/>
      <c r="AJ447" s="141"/>
      <c r="AK447" s="140"/>
      <c r="AL447" s="140"/>
      <c r="AM447" s="140"/>
      <c r="AN447" s="140"/>
      <c r="AO447" s="140"/>
      <c r="AP447" s="140"/>
      <c r="AQ447" s="138"/>
      <c r="AR447" s="140"/>
      <c r="AS447" s="140"/>
      <c r="AT447" s="140"/>
      <c r="AU447" s="140"/>
      <c r="AV447" s="138"/>
      <c r="AW447" s="138"/>
      <c r="AX447" s="140"/>
      <c r="AY447" s="140"/>
      <c r="AZ447" s="140"/>
      <c r="BA447" s="140"/>
      <c r="BB447" s="140"/>
      <c r="BC447" s="140"/>
    </row>
    <row r="448" ht="15.75" customHeight="1">
      <c r="C448" s="137"/>
      <c r="D448" s="138"/>
      <c r="E448" s="138"/>
      <c r="F448" s="138"/>
      <c r="J448" s="138"/>
      <c r="K448" s="138"/>
      <c r="L448" s="138"/>
      <c r="M448" s="139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32"/>
      <c r="AE448" s="140"/>
      <c r="AF448" s="140"/>
      <c r="AG448" s="140"/>
      <c r="AH448" s="140"/>
      <c r="AI448" s="140"/>
      <c r="AJ448" s="141"/>
      <c r="AK448" s="140"/>
      <c r="AL448" s="140"/>
      <c r="AM448" s="140"/>
      <c r="AN448" s="140"/>
      <c r="AO448" s="140"/>
      <c r="AP448" s="140"/>
      <c r="AQ448" s="138"/>
      <c r="AR448" s="140"/>
      <c r="AS448" s="140"/>
      <c r="AT448" s="140"/>
      <c r="AU448" s="140"/>
      <c r="AV448" s="138"/>
      <c r="AW448" s="138"/>
      <c r="AX448" s="140"/>
      <c r="AY448" s="140"/>
      <c r="AZ448" s="140"/>
      <c r="BA448" s="140"/>
      <c r="BB448" s="140"/>
      <c r="BC448" s="140"/>
    </row>
    <row r="449" ht="15.75" customHeight="1">
      <c r="C449" s="137"/>
      <c r="D449" s="138"/>
      <c r="E449" s="138"/>
      <c r="F449" s="138"/>
      <c r="J449" s="138"/>
      <c r="K449" s="138"/>
      <c r="L449" s="138"/>
      <c r="M449" s="139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32"/>
      <c r="AE449" s="140"/>
      <c r="AF449" s="140"/>
      <c r="AG449" s="140"/>
      <c r="AH449" s="140"/>
      <c r="AI449" s="140"/>
      <c r="AJ449" s="141"/>
      <c r="AK449" s="140"/>
      <c r="AL449" s="140"/>
      <c r="AM449" s="140"/>
      <c r="AN449" s="140"/>
      <c r="AO449" s="140"/>
      <c r="AP449" s="140"/>
      <c r="AQ449" s="138"/>
      <c r="AR449" s="140"/>
      <c r="AS449" s="140"/>
      <c r="AT449" s="140"/>
      <c r="AU449" s="140"/>
      <c r="AV449" s="138"/>
      <c r="AW449" s="138"/>
      <c r="AX449" s="140"/>
      <c r="AY449" s="140"/>
      <c r="AZ449" s="140"/>
      <c r="BA449" s="140"/>
      <c r="BB449" s="140"/>
      <c r="BC449" s="140"/>
    </row>
    <row r="450" ht="15.75" customHeight="1">
      <c r="C450" s="137"/>
      <c r="D450" s="138"/>
      <c r="E450" s="138"/>
      <c r="F450" s="138"/>
      <c r="J450" s="138"/>
      <c r="K450" s="138"/>
      <c r="L450" s="138"/>
      <c r="M450" s="139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32"/>
      <c r="AE450" s="140"/>
      <c r="AF450" s="140"/>
      <c r="AG450" s="140"/>
      <c r="AH450" s="140"/>
      <c r="AI450" s="140"/>
      <c r="AJ450" s="141"/>
      <c r="AK450" s="140"/>
      <c r="AL450" s="140"/>
      <c r="AM450" s="140"/>
      <c r="AN450" s="140"/>
      <c r="AO450" s="140"/>
      <c r="AP450" s="140"/>
      <c r="AQ450" s="138"/>
      <c r="AR450" s="140"/>
      <c r="AS450" s="140"/>
      <c r="AT450" s="140"/>
      <c r="AU450" s="140"/>
      <c r="AV450" s="138"/>
      <c r="AW450" s="138"/>
      <c r="AX450" s="140"/>
      <c r="AY450" s="140"/>
      <c r="AZ450" s="140"/>
      <c r="BA450" s="140"/>
      <c r="BB450" s="140"/>
      <c r="BC450" s="140"/>
    </row>
    <row r="451" ht="15.75" customHeight="1">
      <c r="C451" s="137"/>
      <c r="D451" s="138"/>
      <c r="E451" s="138"/>
      <c r="F451" s="138"/>
      <c r="J451" s="138"/>
      <c r="K451" s="138"/>
      <c r="L451" s="138"/>
      <c r="M451" s="139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32"/>
      <c r="AE451" s="140"/>
      <c r="AF451" s="140"/>
      <c r="AG451" s="140"/>
      <c r="AH451" s="140"/>
      <c r="AI451" s="140"/>
      <c r="AJ451" s="141"/>
      <c r="AK451" s="140"/>
      <c r="AL451" s="140"/>
      <c r="AM451" s="140"/>
      <c r="AN451" s="140"/>
      <c r="AO451" s="140"/>
      <c r="AP451" s="140"/>
      <c r="AQ451" s="138"/>
      <c r="AR451" s="140"/>
      <c r="AS451" s="140"/>
      <c r="AT451" s="140"/>
      <c r="AU451" s="140"/>
      <c r="AV451" s="138"/>
      <c r="AW451" s="138"/>
      <c r="AX451" s="140"/>
      <c r="AY451" s="140"/>
      <c r="AZ451" s="140"/>
      <c r="BA451" s="140"/>
      <c r="BB451" s="140"/>
      <c r="BC451" s="140"/>
    </row>
    <row r="452" ht="15.75" customHeight="1">
      <c r="C452" s="137"/>
      <c r="D452" s="138"/>
      <c r="E452" s="138"/>
      <c r="F452" s="138"/>
      <c r="J452" s="138"/>
      <c r="K452" s="138"/>
      <c r="L452" s="138"/>
      <c r="M452" s="139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32"/>
      <c r="AE452" s="140"/>
      <c r="AF452" s="140"/>
      <c r="AG452" s="140"/>
      <c r="AH452" s="140"/>
      <c r="AI452" s="140"/>
      <c r="AJ452" s="141"/>
      <c r="AK452" s="140"/>
      <c r="AL452" s="140"/>
      <c r="AM452" s="140"/>
      <c r="AN452" s="140"/>
      <c r="AO452" s="140"/>
      <c r="AP452" s="140"/>
      <c r="AQ452" s="138"/>
      <c r="AR452" s="140"/>
      <c r="AS452" s="140"/>
      <c r="AT452" s="140"/>
      <c r="AU452" s="140"/>
      <c r="AV452" s="138"/>
      <c r="AW452" s="138"/>
      <c r="AX452" s="140"/>
      <c r="AY452" s="140"/>
      <c r="AZ452" s="140"/>
      <c r="BA452" s="140"/>
      <c r="BB452" s="140"/>
      <c r="BC452" s="140"/>
    </row>
    <row r="453" ht="15.75" customHeight="1">
      <c r="C453" s="137"/>
      <c r="D453" s="138"/>
      <c r="E453" s="138"/>
      <c r="F453" s="138"/>
      <c r="J453" s="138"/>
      <c r="K453" s="138"/>
      <c r="L453" s="138"/>
      <c r="M453" s="139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32"/>
      <c r="AE453" s="140"/>
      <c r="AF453" s="140"/>
      <c r="AG453" s="140"/>
      <c r="AH453" s="140"/>
      <c r="AI453" s="140"/>
      <c r="AJ453" s="141"/>
      <c r="AK453" s="140"/>
      <c r="AL453" s="140"/>
      <c r="AM453" s="140"/>
      <c r="AN453" s="140"/>
      <c r="AO453" s="140"/>
      <c r="AP453" s="140"/>
      <c r="AQ453" s="138"/>
      <c r="AR453" s="140"/>
      <c r="AS453" s="140"/>
      <c r="AT453" s="140"/>
      <c r="AU453" s="140"/>
      <c r="AV453" s="138"/>
      <c r="AW453" s="138"/>
      <c r="AX453" s="140"/>
      <c r="AY453" s="140"/>
      <c r="AZ453" s="140"/>
      <c r="BA453" s="140"/>
      <c r="BB453" s="140"/>
      <c r="BC453" s="140"/>
    </row>
    <row r="454" ht="15.75" customHeight="1">
      <c r="C454" s="137"/>
      <c r="D454" s="138"/>
      <c r="E454" s="138"/>
      <c r="F454" s="138"/>
      <c r="J454" s="138"/>
      <c r="K454" s="138"/>
      <c r="L454" s="138"/>
      <c r="M454" s="139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32"/>
      <c r="AE454" s="140"/>
      <c r="AF454" s="140"/>
      <c r="AG454" s="140"/>
      <c r="AH454" s="140"/>
      <c r="AI454" s="140"/>
      <c r="AJ454" s="141"/>
      <c r="AK454" s="140"/>
      <c r="AL454" s="140"/>
      <c r="AM454" s="140"/>
      <c r="AN454" s="140"/>
      <c r="AO454" s="140"/>
      <c r="AP454" s="140"/>
      <c r="AQ454" s="138"/>
      <c r="AR454" s="140"/>
      <c r="AS454" s="140"/>
      <c r="AT454" s="140"/>
      <c r="AU454" s="140"/>
      <c r="AV454" s="138"/>
      <c r="AW454" s="138"/>
      <c r="AX454" s="140"/>
      <c r="AY454" s="140"/>
      <c r="AZ454" s="140"/>
      <c r="BA454" s="140"/>
      <c r="BB454" s="140"/>
      <c r="BC454" s="140"/>
    </row>
    <row r="455" ht="15.75" customHeight="1">
      <c r="C455" s="137"/>
      <c r="D455" s="138"/>
      <c r="E455" s="138"/>
      <c r="F455" s="138"/>
      <c r="J455" s="138"/>
      <c r="K455" s="138"/>
      <c r="L455" s="138"/>
      <c r="M455" s="139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32"/>
      <c r="AE455" s="140"/>
      <c r="AF455" s="140"/>
      <c r="AG455" s="140"/>
      <c r="AH455" s="140"/>
      <c r="AI455" s="140"/>
      <c r="AJ455" s="141"/>
      <c r="AK455" s="140"/>
      <c r="AL455" s="140"/>
      <c r="AM455" s="140"/>
      <c r="AN455" s="140"/>
      <c r="AO455" s="140"/>
      <c r="AP455" s="140"/>
      <c r="AQ455" s="138"/>
      <c r="AR455" s="140"/>
      <c r="AS455" s="140"/>
      <c r="AT455" s="140"/>
      <c r="AU455" s="140"/>
      <c r="AV455" s="138"/>
      <c r="AW455" s="138"/>
      <c r="AX455" s="140"/>
      <c r="AY455" s="140"/>
      <c r="AZ455" s="140"/>
      <c r="BA455" s="140"/>
      <c r="BB455" s="140"/>
      <c r="BC455" s="140"/>
    </row>
    <row r="456" ht="15.75" customHeight="1">
      <c r="C456" s="137"/>
      <c r="D456" s="138"/>
      <c r="E456" s="138"/>
      <c r="F456" s="138"/>
      <c r="J456" s="138"/>
      <c r="K456" s="138"/>
      <c r="L456" s="138"/>
      <c r="M456" s="139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32"/>
      <c r="AE456" s="140"/>
      <c r="AF456" s="140"/>
      <c r="AG456" s="140"/>
      <c r="AH456" s="140"/>
      <c r="AI456" s="140"/>
      <c r="AJ456" s="141"/>
      <c r="AK456" s="140"/>
      <c r="AL456" s="140"/>
      <c r="AM456" s="140"/>
      <c r="AN456" s="140"/>
      <c r="AO456" s="140"/>
      <c r="AP456" s="140"/>
      <c r="AQ456" s="138"/>
      <c r="AR456" s="140"/>
      <c r="AS456" s="140"/>
      <c r="AT456" s="140"/>
      <c r="AU456" s="140"/>
      <c r="AV456" s="138"/>
      <c r="AW456" s="138"/>
      <c r="AX456" s="140"/>
      <c r="AY456" s="140"/>
      <c r="AZ456" s="140"/>
      <c r="BA456" s="140"/>
      <c r="BB456" s="140"/>
      <c r="BC456" s="140"/>
    </row>
    <row r="457" ht="15.75" customHeight="1">
      <c r="C457" s="137"/>
      <c r="D457" s="138"/>
      <c r="E457" s="138"/>
      <c r="F457" s="138"/>
      <c r="J457" s="138"/>
      <c r="K457" s="138"/>
      <c r="L457" s="138"/>
      <c r="M457" s="139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32"/>
      <c r="AE457" s="140"/>
      <c r="AF457" s="140"/>
      <c r="AG457" s="140"/>
      <c r="AH457" s="140"/>
      <c r="AI457" s="140"/>
      <c r="AJ457" s="141"/>
      <c r="AK457" s="140"/>
      <c r="AL457" s="140"/>
      <c r="AM457" s="140"/>
      <c r="AN457" s="140"/>
      <c r="AO457" s="140"/>
      <c r="AP457" s="140"/>
      <c r="AQ457" s="138"/>
      <c r="AR457" s="140"/>
      <c r="AS457" s="140"/>
      <c r="AT457" s="140"/>
      <c r="AU457" s="140"/>
      <c r="AV457" s="138"/>
      <c r="AW457" s="138"/>
      <c r="AX457" s="140"/>
      <c r="AY457" s="140"/>
      <c r="AZ457" s="140"/>
      <c r="BA457" s="140"/>
      <c r="BB457" s="140"/>
      <c r="BC457" s="140"/>
    </row>
    <row r="458" ht="15.75" customHeight="1">
      <c r="C458" s="137"/>
      <c r="D458" s="138"/>
      <c r="E458" s="138"/>
      <c r="F458" s="138"/>
      <c r="J458" s="138"/>
      <c r="K458" s="138"/>
      <c r="L458" s="138"/>
      <c r="M458" s="139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32"/>
      <c r="AE458" s="140"/>
      <c r="AF458" s="140"/>
      <c r="AG458" s="140"/>
      <c r="AH458" s="140"/>
      <c r="AI458" s="140"/>
      <c r="AJ458" s="141"/>
      <c r="AK458" s="140"/>
      <c r="AL458" s="140"/>
      <c r="AM458" s="140"/>
      <c r="AN458" s="140"/>
      <c r="AO458" s="140"/>
      <c r="AP458" s="140"/>
      <c r="AQ458" s="138"/>
      <c r="AR458" s="140"/>
      <c r="AS458" s="140"/>
      <c r="AT458" s="140"/>
      <c r="AU458" s="140"/>
      <c r="AV458" s="138"/>
      <c r="AW458" s="138"/>
      <c r="AX458" s="140"/>
      <c r="AY458" s="140"/>
      <c r="AZ458" s="140"/>
      <c r="BA458" s="140"/>
      <c r="BB458" s="140"/>
      <c r="BC458" s="140"/>
    </row>
    <row r="459" ht="15.75" customHeight="1">
      <c r="C459" s="137"/>
      <c r="D459" s="138"/>
      <c r="E459" s="138"/>
      <c r="F459" s="138"/>
      <c r="J459" s="138"/>
      <c r="K459" s="138"/>
      <c r="L459" s="138"/>
      <c r="M459" s="139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32"/>
      <c r="AE459" s="140"/>
      <c r="AF459" s="140"/>
      <c r="AG459" s="140"/>
      <c r="AH459" s="140"/>
      <c r="AI459" s="140"/>
      <c r="AJ459" s="141"/>
      <c r="AK459" s="140"/>
      <c r="AL459" s="140"/>
      <c r="AM459" s="140"/>
      <c r="AN459" s="140"/>
      <c r="AO459" s="140"/>
      <c r="AP459" s="140"/>
      <c r="AQ459" s="138"/>
      <c r="AR459" s="140"/>
      <c r="AS459" s="140"/>
      <c r="AT459" s="140"/>
      <c r="AU459" s="140"/>
      <c r="AV459" s="138"/>
      <c r="AW459" s="138"/>
      <c r="AX459" s="140"/>
      <c r="AY459" s="140"/>
      <c r="AZ459" s="140"/>
      <c r="BA459" s="140"/>
      <c r="BB459" s="140"/>
      <c r="BC459" s="140"/>
    </row>
    <row r="460" ht="15.75" customHeight="1">
      <c r="C460" s="137"/>
      <c r="D460" s="138"/>
      <c r="E460" s="138"/>
      <c r="F460" s="138"/>
      <c r="J460" s="138"/>
      <c r="K460" s="138"/>
      <c r="L460" s="138"/>
      <c r="M460" s="139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32"/>
      <c r="AE460" s="140"/>
      <c r="AF460" s="140"/>
      <c r="AG460" s="140"/>
      <c r="AH460" s="140"/>
      <c r="AI460" s="140"/>
      <c r="AJ460" s="141"/>
      <c r="AK460" s="140"/>
      <c r="AL460" s="140"/>
      <c r="AM460" s="140"/>
      <c r="AN460" s="140"/>
      <c r="AO460" s="140"/>
      <c r="AP460" s="140"/>
      <c r="AQ460" s="138"/>
      <c r="AR460" s="140"/>
      <c r="AS460" s="140"/>
      <c r="AT460" s="140"/>
      <c r="AU460" s="140"/>
      <c r="AV460" s="138"/>
      <c r="AW460" s="138"/>
      <c r="AX460" s="140"/>
      <c r="AY460" s="140"/>
      <c r="AZ460" s="140"/>
      <c r="BA460" s="140"/>
      <c r="BB460" s="140"/>
      <c r="BC460" s="140"/>
    </row>
    <row r="461" ht="15.75" customHeight="1">
      <c r="C461" s="137"/>
      <c r="D461" s="138"/>
      <c r="E461" s="138"/>
      <c r="F461" s="138"/>
      <c r="J461" s="138"/>
      <c r="K461" s="138"/>
      <c r="L461" s="138"/>
      <c r="M461" s="139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32"/>
      <c r="AE461" s="140"/>
      <c r="AF461" s="140"/>
      <c r="AG461" s="140"/>
      <c r="AH461" s="140"/>
      <c r="AI461" s="140"/>
      <c r="AJ461" s="141"/>
      <c r="AK461" s="140"/>
      <c r="AL461" s="140"/>
      <c r="AM461" s="140"/>
      <c r="AN461" s="140"/>
      <c r="AO461" s="140"/>
      <c r="AP461" s="140"/>
      <c r="AQ461" s="138"/>
      <c r="AR461" s="140"/>
      <c r="AS461" s="140"/>
      <c r="AT461" s="140"/>
      <c r="AU461" s="140"/>
      <c r="AV461" s="138"/>
      <c r="AW461" s="138"/>
      <c r="AX461" s="140"/>
      <c r="AY461" s="140"/>
      <c r="AZ461" s="140"/>
      <c r="BA461" s="140"/>
      <c r="BB461" s="140"/>
      <c r="BC461" s="140"/>
    </row>
    <row r="462" ht="15.75" customHeight="1">
      <c r="C462" s="137"/>
      <c r="D462" s="138"/>
      <c r="E462" s="138"/>
      <c r="F462" s="138"/>
      <c r="J462" s="138"/>
      <c r="K462" s="138"/>
      <c r="L462" s="138"/>
      <c r="M462" s="139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32"/>
      <c r="AE462" s="140"/>
      <c r="AF462" s="140"/>
      <c r="AG462" s="140"/>
      <c r="AH462" s="140"/>
      <c r="AI462" s="140"/>
      <c r="AJ462" s="141"/>
      <c r="AK462" s="140"/>
      <c r="AL462" s="140"/>
      <c r="AM462" s="140"/>
      <c r="AN462" s="140"/>
      <c r="AO462" s="140"/>
      <c r="AP462" s="140"/>
      <c r="AQ462" s="138"/>
      <c r="AR462" s="140"/>
      <c r="AS462" s="140"/>
      <c r="AT462" s="140"/>
      <c r="AU462" s="140"/>
      <c r="AV462" s="138"/>
      <c r="AW462" s="138"/>
      <c r="AX462" s="140"/>
      <c r="AY462" s="140"/>
      <c r="AZ462" s="140"/>
      <c r="BA462" s="140"/>
      <c r="BB462" s="140"/>
      <c r="BC462" s="140"/>
    </row>
    <row r="463" ht="15.75" customHeight="1">
      <c r="C463" s="137"/>
      <c r="D463" s="138"/>
      <c r="E463" s="138"/>
      <c r="F463" s="138"/>
      <c r="J463" s="138"/>
      <c r="K463" s="138"/>
      <c r="L463" s="138"/>
      <c r="M463" s="139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32"/>
      <c r="AE463" s="140"/>
      <c r="AF463" s="140"/>
      <c r="AG463" s="140"/>
      <c r="AH463" s="140"/>
      <c r="AI463" s="140"/>
      <c r="AJ463" s="141"/>
      <c r="AK463" s="140"/>
      <c r="AL463" s="140"/>
      <c r="AM463" s="140"/>
      <c r="AN463" s="140"/>
      <c r="AO463" s="140"/>
      <c r="AP463" s="140"/>
      <c r="AQ463" s="138"/>
      <c r="AR463" s="140"/>
      <c r="AS463" s="140"/>
      <c r="AT463" s="140"/>
      <c r="AU463" s="140"/>
      <c r="AV463" s="138"/>
      <c r="AW463" s="138"/>
      <c r="AX463" s="140"/>
      <c r="AY463" s="140"/>
      <c r="AZ463" s="140"/>
      <c r="BA463" s="140"/>
      <c r="BB463" s="140"/>
      <c r="BC463" s="140"/>
    </row>
    <row r="464" ht="15.75" customHeight="1">
      <c r="C464" s="137"/>
      <c r="D464" s="138"/>
      <c r="E464" s="138"/>
      <c r="F464" s="138"/>
      <c r="J464" s="138"/>
      <c r="K464" s="138"/>
      <c r="L464" s="138"/>
      <c r="M464" s="139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32"/>
      <c r="AE464" s="140"/>
      <c r="AF464" s="140"/>
      <c r="AG464" s="140"/>
      <c r="AH464" s="140"/>
      <c r="AI464" s="140"/>
      <c r="AJ464" s="141"/>
      <c r="AK464" s="140"/>
      <c r="AL464" s="140"/>
      <c r="AM464" s="140"/>
      <c r="AN464" s="140"/>
      <c r="AO464" s="140"/>
      <c r="AP464" s="140"/>
      <c r="AQ464" s="138"/>
      <c r="AR464" s="140"/>
      <c r="AS464" s="140"/>
      <c r="AT464" s="140"/>
      <c r="AU464" s="140"/>
      <c r="AV464" s="138"/>
      <c r="AW464" s="138"/>
      <c r="AX464" s="140"/>
      <c r="AY464" s="140"/>
      <c r="AZ464" s="140"/>
      <c r="BA464" s="140"/>
      <c r="BB464" s="140"/>
      <c r="BC464" s="140"/>
    </row>
    <row r="465" ht="15.75" customHeight="1">
      <c r="C465" s="137"/>
      <c r="D465" s="138"/>
      <c r="E465" s="138"/>
      <c r="F465" s="138"/>
      <c r="J465" s="138"/>
      <c r="K465" s="138"/>
      <c r="L465" s="138"/>
      <c r="M465" s="139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32"/>
      <c r="AE465" s="140"/>
      <c r="AF465" s="140"/>
      <c r="AG465" s="140"/>
      <c r="AH465" s="140"/>
      <c r="AI465" s="140"/>
      <c r="AJ465" s="141"/>
      <c r="AK465" s="140"/>
      <c r="AL465" s="140"/>
      <c r="AM465" s="140"/>
      <c r="AN465" s="140"/>
      <c r="AO465" s="140"/>
      <c r="AP465" s="140"/>
      <c r="AQ465" s="138"/>
      <c r="AR465" s="140"/>
      <c r="AS465" s="140"/>
      <c r="AT465" s="140"/>
      <c r="AU465" s="140"/>
      <c r="AV465" s="138"/>
      <c r="AW465" s="138"/>
      <c r="AX465" s="140"/>
      <c r="AY465" s="140"/>
      <c r="AZ465" s="140"/>
      <c r="BA465" s="140"/>
      <c r="BB465" s="140"/>
      <c r="BC465" s="140"/>
    </row>
    <row r="466" ht="15.75" customHeight="1">
      <c r="C466" s="137"/>
      <c r="D466" s="138"/>
      <c r="E466" s="138"/>
      <c r="F466" s="138"/>
      <c r="J466" s="138"/>
      <c r="K466" s="138"/>
      <c r="L466" s="138"/>
      <c r="M466" s="139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32"/>
      <c r="AE466" s="140"/>
      <c r="AF466" s="140"/>
      <c r="AG466" s="140"/>
      <c r="AH466" s="140"/>
      <c r="AI466" s="140"/>
      <c r="AJ466" s="141"/>
      <c r="AK466" s="140"/>
      <c r="AL466" s="140"/>
      <c r="AM466" s="140"/>
      <c r="AN466" s="140"/>
      <c r="AO466" s="140"/>
      <c r="AP466" s="140"/>
      <c r="AQ466" s="138"/>
      <c r="AR466" s="140"/>
      <c r="AS466" s="140"/>
      <c r="AT466" s="140"/>
      <c r="AU466" s="140"/>
      <c r="AV466" s="138"/>
      <c r="AW466" s="138"/>
      <c r="AX466" s="140"/>
      <c r="AY466" s="140"/>
      <c r="AZ466" s="140"/>
      <c r="BA466" s="140"/>
      <c r="BB466" s="140"/>
      <c r="BC466" s="140"/>
    </row>
    <row r="467" ht="15.75" customHeight="1">
      <c r="C467" s="137"/>
      <c r="D467" s="138"/>
      <c r="E467" s="138"/>
      <c r="F467" s="138"/>
      <c r="J467" s="138"/>
      <c r="K467" s="138"/>
      <c r="L467" s="138"/>
      <c r="M467" s="139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32"/>
      <c r="AE467" s="140"/>
      <c r="AF467" s="140"/>
      <c r="AG467" s="140"/>
      <c r="AH467" s="140"/>
      <c r="AI467" s="140"/>
      <c r="AJ467" s="141"/>
      <c r="AK467" s="140"/>
      <c r="AL467" s="140"/>
      <c r="AM467" s="140"/>
      <c r="AN467" s="140"/>
      <c r="AO467" s="140"/>
      <c r="AP467" s="140"/>
      <c r="AQ467" s="138"/>
      <c r="AR467" s="140"/>
      <c r="AS467" s="140"/>
      <c r="AT467" s="140"/>
      <c r="AU467" s="140"/>
      <c r="AV467" s="138"/>
      <c r="AW467" s="138"/>
      <c r="AX467" s="140"/>
      <c r="AY467" s="140"/>
      <c r="AZ467" s="140"/>
      <c r="BA467" s="140"/>
      <c r="BB467" s="140"/>
      <c r="BC467" s="140"/>
    </row>
    <row r="468" ht="15.75" customHeight="1">
      <c r="C468" s="137"/>
      <c r="D468" s="138"/>
      <c r="E468" s="138"/>
      <c r="F468" s="138"/>
      <c r="J468" s="138"/>
      <c r="K468" s="138"/>
      <c r="L468" s="138"/>
      <c r="M468" s="139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32"/>
      <c r="AE468" s="140"/>
      <c r="AF468" s="140"/>
      <c r="AG468" s="140"/>
      <c r="AH468" s="140"/>
      <c r="AI468" s="140"/>
      <c r="AJ468" s="141"/>
      <c r="AK468" s="140"/>
      <c r="AL468" s="140"/>
      <c r="AM468" s="140"/>
      <c r="AN468" s="140"/>
      <c r="AO468" s="140"/>
      <c r="AP468" s="140"/>
      <c r="AQ468" s="138"/>
      <c r="AR468" s="140"/>
      <c r="AS468" s="140"/>
      <c r="AT468" s="140"/>
      <c r="AU468" s="140"/>
      <c r="AV468" s="138"/>
      <c r="AW468" s="138"/>
      <c r="AX468" s="140"/>
      <c r="AY468" s="140"/>
      <c r="AZ468" s="140"/>
      <c r="BA468" s="140"/>
      <c r="BB468" s="140"/>
      <c r="BC468" s="140"/>
    </row>
    <row r="469" ht="15.75" customHeight="1">
      <c r="C469" s="137"/>
      <c r="D469" s="138"/>
      <c r="E469" s="138"/>
      <c r="F469" s="138"/>
      <c r="J469" s="138"/>
      <c r="K469" s="138"/>
      <c r="L469" s="138"/>
      <c r="M469" s="139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32"/>
      <c r="AE469" s="140"/>
      <c r="AF469" s="140"/>
      <c r="AG469" s="140"/>
      <c r="AH469" s="140"/>
      <c r="AI469" s="140"/>
      <c r="AJ469" s="141"/>
      <c r="AK469" s="140"/>
      <c r="AL469" s="140"/>
      <c r="AM469" s="140"/>
      <c r="AN469" s="140"/>
      <c r="AO469" s="140"/>
      <c r="AP469" s="140"/>
      <c r="AQ469" s="138"/>
      <c r="AR469" s="140"/>
      <c r="AS469" s="140"/>
      <c r="AT469" s="140"/>
      <c r="AU469" s="140"/>
      <c r="AV469" s="138"/>
      <c r="AW469" s="138"/>
      <c r="AX469" s="140"/>
      <c r="AY469" s="140"/>
      <c r="AZ469" s="140"/>
      <c r="BA469" s="140"/>
      <c r="BB469" s="140"/>
      <c r="BC469" s="140"/>
    </row>
    <row r="470" ht="15.75" customHeight="1">
      <c r="C470" s="137"/>
      <c r="D470" s="138"/>
      <c r="E470" s="138"/>
      <c r="F470" s="138"/>
      <c r="J470" s="138"/>
      <c r="K470" s="138"/>
      <c r="L470" s="138"/>
      <c r="M470" s="139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32"/>
      <c r="AE470" s="140"/>
      <c r="AF470" s="140"/>
      <c r="AG470" s="140"/>
      <c r="AH470" s="140"/>
      <c r="AI470" s="140"/>
      <c r="AJ470" s="141"/>
      <c r="AK470" s="140"/>
      <c r="AL470" s="140"/>
      <c r="AM470" s="140"/>
      <c r="AN470" s="140"/>
      <c r="AO470" s="140"/>
      <c r="AP470" s="140"/>
      <c r="AQ470" s="138"/>
      <c r="AR470" s="140"/>
      <c r="AS470" s="140"/>
      <c r="AT470" s="140"/>
      <c r="AU470" s="140"/>
      <c r="AV470" s="138"/>
      <c r="AW470" s="138"/>
      <c r="AX470" s="140"/>
      <c r="AY470" s="140"/>
      <c r="AZ470" s="140"/>
      <c r="BA470" s="140"/>
      <c r="BB470" s="140"/>
      <c r="BC470" s="140"/>
    </row>
    <row r="471" ht="15.75" customHeight="1">
      <c r="C471" s="137"/>
      <c r="D471" s="138"/>
      <c r="E471" s="138"/>
      <c r="F471" s="138"/>
      <c r="J471" s="138"/>
      <c r="K471" s="138"/>
      <c r="L471" s="138"/>
      <c r="M471" s="139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32"/>
      <c r="AE471" s="140"/>
      <c r="AF471" s="140"/>
      <c r="AG471" s="140"/>
      <c r="AH471" s="140"/>
      <c r="AI471" s="140"/>
      <c r="AJ471" s="141"/>
      <c r="AK471" s="140"/>
      <c r="AL471" s="140"/>
      <c r="AM471" s="140"/>
      <c r="AN471" s="140"/>
      <c r="AO471" s="140"/>
      <c r="AP471" s="140"/>
      <c r="AQ471" s="138"/>
      <c r="AR471" s="140"/>
      <c r="AS471" s="140"/>
      <c r="AT471" s="140"/>
      <c r="AU471" s="140"/>
      <c r="AV471" s="138"/>
      <c r="AW471" s="138"/>
      <c r="AX471" s="140"/>
      <c r="AY471" s="140"/>
      <c r="AZ471" s="140"/>
      <c r="BA471" s="140"/>
      <c r="BB471" s="140"/>
      <c r="BC471" s="140"/>
    </row>
    <row r="472" ht="15.75" customHeight="1">
      <c r="C472" s="137"/>
      <c r="D472" s="138"/>
      <c r="E472" s="138"/>
      <c r="F472" s="138"/>
      <c r="J472" s="138"/>
      <c r="K472" s="138"/>
      <c r="L472" s="138"/>
      <c r="M472" s="139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32"/>
      <c r="AE472" s="140"/>
      <c r="AF472" s="140"/>
      <c r="AG472" s="140"/>
      <c r="AH472" s="140"/>
      <c r="AI472" s="140"/>
      <c r="AJ472" s="141"/>
      <c r="AK472" s="140"/>
      <c r="AL472" s="140"/>
      <c r="AM472" s="140"/>
      <c r="AN472" s="140"/>
      <c r="AO472" s="140"/>
      <c r="AP472" s="140"/>
      <c r="AQ472" s="138"/>
      <c r="AR472" s="140"/>
      <c r="AS472" s="140"/>
      <c r="AT472" s="140"/>
      <c r="AU472" s="140"/>
      <c r="AV472" s="138"/>
      <c r="AW472" s="138"/>
      <c r="AX472" s="140"/>
      <c r="AY472" s="140"/>
      <c r="AZ472" s="140"/>
      <c r="BA472" s="140"/>
      <c r="BB472" s="140"/>
      <c r="BC472" s="140"/>
    </row>
    <row r="473" ht="15.75" customHeight="1">
      <c r="C473" s="137"/>
      <c r="D473" s="138"/>
      <c r="E473" s="138"/>
      <c r="F473" s="138"/>
      <c r="J473" s="138"/>
      <c r="K473" s="138"/>
      <c r="L473" s="138"/>
      <c r="M473" s="139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32"/>
      <c r="AE473" s="140"/>
      <c r="AF473" s="140"/>
      <c r="AG473" s="140"/>
      <c r="AH473" s="140"/>
      <c r="AI473" s="140"/>
      <c r="AJ473" s="141"/>
      <c r="AK473" s="140"/>
      <c r="AL473" s="140"/>
      <c r="AM473" s="140"/>
      <c r="AN473" s="140"/>
      <c r="AO473" s="140"/>
      <c r="AP473" s="140"/>
      <c r="AQ473" s="138"/>
      <c r="AR473" s="140"/>
      <c r="AS473" s="140"/>
      <c r="AT473" s="140"/>
      <c r="AU473" s="140"/>
      <c r="AV473" s="138"/>
      <c r="AW473" s="138"/>
      <c r="AX473" s="140"/>
      <c r="AY473" s="140"/>
      <c r="AZ473" s="140"/>
      <c r="BA473" s="140"/>
      <c r="BB473" s="140"/>
      <c r="BC473" s="140"/>
    </row>
    <row r="474" ht="15.75" customHeight="1">
      <c r="C474" s="137"/>
      <c r="D474" s="138"/>
      <c r="E474" s="138"/>
      <c r="F474" s="138"/>
      <c r="J474" s="138"/>
      <c r="K474" s="138"/>
      <c r="L474" s="138"/>
      <c r="M474" s="139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32"/>
      <c r="AE474" s="140"/>
      <c r="AF474" s="140"/>
      <c r="AG474" s="140"/>
      <c r="AH474" s="140"/>
      <c r="AI474" s="140"/>
      <c r="AJ474" s="141"/>
      <c r="AK474" s="140"/>
      <c r="AL474" s="140"/>
      <c r="AM474" s="140"/>
      <c r="AN474" s="140"/>
      <c r="AO474" s="140"/>
      <c r="AP474" s="140"/>
      <c r="AQ474" s="138"/>
      <c r="AR474" s="140"/>
      <c r="AS474" s="140"/>
      <c r="AT474" s="140"/>
      <c r="AU474" s="140"/>
      <c r="AV474" s="138"/>
      <c r="AW474" s="138"/>
      <c r="AX474" s="140"/>
      <c r="AY474" s="140"/>
      <c r="AZ474" s="140"/>
      <c r="BA474" s="140"/>
      <c r="BB474" s="140"/>
      <c r="BC474" s="140"/>
    </row>
    <row r="475" ht="15.75" customHeight="1">
      <c r="C475" s="137"/>
      <c r="D475" s="138"/>
      <c r="E475" s="138"/>
      <c r="F475" s="138"/>
      <c r="J475" s="138"/>
      <c r="K475" s="138"/>
      <c r="L475" s="138"/>
      <c r="M475" s="139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32"/>
      <c r="AE475" s="140"/>
      <c r="AF475" s="140"/>
      <c r="AG475" s="140"/>
      <c r="AH475" s="140"/>
      <c r="AI475" s="140"/>
      <c r="AJ475" s="141"/>
      <c r="AK475" s="140"/>
      <c r="AL475" s="140"/>
      <c r="AM475" s="140"/>
      <c r="AN475" s="140"/>
      <c r="AO475" s="140"/>
      <c r="AP475" s="140"/>
      <c r="AQ475" s="138"/>
      <c r="AR475" s="140"/>
      <c r="AS475" s="140"/>
      <c r="AT475" s="140"/>
      <c r="AU475" s="140"/>
      <c r="AV475" s="138"/>
      <c r="AW475" s="138"/>
      <c r="AX475" s="140"/>
      <c r="AY475" s="140"/>
      <c r="AZ475" s="140"/>
      <c r="BA475" s="140"/>
      <c r="BB475" s="140"/>
      <c r="BC475" s="140"/>
    </row>
    <row r="476" ht="15.75" customHeight="1">
      <c r="C476" s="137"/>
      <c r="D476" s="138"/>
      <c r="E476" s="138"/>
      <c r="F476" s="138"/>
      <c r="J476" s="138"/>
      <c r="K476" s="138"/>
      <c r="L476" s="138"/>
      <c r="M476" s="139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32"/>
      <c r="AE476" s="140"/>
      <c r="AF476" s="140"/>
      <c r="AG476" s="140"/>
      <c r="AH476" s="140"/>
      <c r="AI476" s="140"/>
      <c r="AJ476" s="141"/>
      <c r="AK476" s="140"/>
      <c r="AL476" s="140"/>
      <c r="AM476" s="140"/>
      <c r="AN476" s="140"/>
      <c r="AO476" s="140"/>
      <c r="AP476" s="140"/>
      <c r="AQ476" s="138"/>
      <c r="AR476" s="140"/>
      <c r="AS476" s="140"/>
      <c r="AT476" s="140"/>
      <c r="AU476" s="140"/>
      <c r="AV476" s="138"/>
      <c r="AW476" s="138"/>
      <c r="AX476" s="140"/>
      <c r="AY476" s="140"/>
      <c r="AZ476" s="140"/>
      <c r="BA476" s="140"/>
      <c r="BB476" s="140"/>
      <c r="BC476" s="140"/>
    </row>
    <row r="477" ht="15.75" customHeight="1">
      <c r="C477" s="137"/>
      <c r="D477" s="138"/>
      <c r="E477" s="138"/>
      <c r="F477" s="138"/>
      <c r="J477" s="138"/>
      <c r="K477" s="138"/>
      <c r="L477" s="138"/>
      <c r="M477" s="139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32"/>
      <c r="AE477" s="140"/>
      <c r="AF477" s="140"/>
      <c r="AG477" s="140"/>
      <c r="AH477" s="140"/>
      <c r="AI477" s="140"/>
      <c r="AJ477" s="141"/>
      <c r="AK477" s="140"/>
      <c r="AL477" s="140"/>
      <c r="AM477" s="140"/>
      <c r="AN477" s="140"/>
      <c r="AO477" s="140"/>
      <c r="AP477" s="140"/>
      <c r="AQ477" s="138"/>
      <c r="AR477" s="140"/>
      <c r="AS477" s="140"/>
      <c r="AT477" s="140"/>
      <c r="AU477" s="140"/>
      <c r="AV477" s="138"/>
      <c r="AW477" s="138"/>
      <c r="AX477" s="140"/>
      <c r="AY477" s="140"/>
      <c r="AZ477" s="140"/>
      <c r="BA477" s="140"/>
      <c r="BB477" s="140"/>
      <c r="BC477" s="140"/>
    </row>
    <row r="478" ht="15.75" customHeight="1">
      <c r="C478" s="137"/>
      <c r="D478" s="138"/>
      <c r="E478" s="138"/>
      <c r="F478" s="138"/>
      <c r="J478" s="138"/>
      <c r="K478" s="138"/>
      <c r="L478" s="138"/>
      <c r="M478" s="139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32"/>
      <c r="AE478" s="140"/>
      <c r="AF478" s="140"/>
      <c r="AG478" s="140"/>
      <c r="AH478" s="140"/>
      <c r="AI478" s="140"/>
      <c r="AJ478" s="141"/>
      <c r="AK478" s="140"/>
      <c r="AL478" s="140"/>
      <c r="AM478" s="140"/>
      <c r="AN478" s="140"/>
      <c r="AO478" s="140"/>
      <c r="AP478" s="140"/>
      <c r="AQ478" s="138"/>
      <c r="AR478" s="140"/>
      <c r="AS478" s="140"/>
      <c r="AT478" s="140"/>
      <c r="AU478" s="140"/>
      <c r="AV478" s="138"/>
      <c r="AW478" s="138"/>
      <c r="AX478" s="140"/>
      <c r="AY478" s="140"/>
      <c r="AZ478" s="140"/>
      <c r="BA478" s="140"/>
      <c r="BB478" s="140"/>
      <c r="BC478" s="140"/>
    </row>
    <row r="479" ht="15.75" customHeight="1">
      <c r="C479" s="137"/>
      <c r="D479" s="138"/>
      <c r="E479" s="138"/>
      <c r="F479" s="138"/>
      <c r="J479" s="138"/>
      <c r="K479" s="138"/>
      <c r="L479" s="138"/>
      <c r="M479" s="139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32"/>
      <c r="AE479" s="140"/>
      <c r="AF479" s="140"/>
      <c r="AG479" s="140"/>
      <c r="AH479" s="140"/>
      <c r="AI479" s="140"/>
      <c r="AJ479" s="141"/>
      <c r="AK479" s="140"/>
      <c r="AL479" s="140"/>
      <c r="AM479" s="140"/>
      <c r="AN479" s="140"/>
      <c r="AO479" s="140"/>
      <c r="AP479" s="140"/>
      <c r="AQ479" s="138"/>
      <c r="AR479" s="140"/>
      <c r="AS479" s="140"/>
      <c r="AT479" s="140"/>
      <c r="AU479" s="140"/>
      <c r="AV479" s="138"/>
      <c r="AW479" s="138"/>
      <c r="AX479" s="140"/>
      <c r="AY479" s="140"/>
      <c r="AZ479" s="140"/>
      <c r="BA479" s="140"/>
      <c r="BB479" s="140"/>
      <c r="BC479" s="140"/>
    </row>
    <row r="480" ht="15.75" customHeight="1">
      <c r="C480" s="137"/>
      <c r="D480" s="138"/>
      <c r="E480" s="138"/>
      <c r="F480" s="138"/>
      <c r="J480" s="138"/>
      <c r="K480" s="138"/>
      <c r="L480" s="138"/>
      <c r="M480" s="139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32"/>
      <c r="AE480" s="140"/>
      <c r="AF480" s="140"/>
      <c r="AG480" s="140"/>
      <c r="AH480" s="140"/>
      <c r="AI480" s="140"/>
      <c r="AJ480" s="141"/>
      <c r="AK480" s="140"/>
      <c r="AL480" s="140"/>
      <c r="AM480" s="140"/>
      <c r="AN480" s="140"/>
      <c r="AO480" s="140"/>
      <c r="AP480" s="140"/>
      <c r="AQ480" s="138"/>
      <c r="AR480" s="140"/>
      <c r="AS480" s="140"/>
      <c r="AT480" s="140"/>
      <c r="AU480" s="140"/>
      <c r="AV480" s="138"/>
      <c r="AW480" s="138"/>
      <c r="AX480" s="140"/>
      <c r="AY480" s="140"/>
      <c r="AZ480" s="140"/>
      <c r="BA480" s="140"/>
      <c r="BB480" s="140"/>
      <c r="BC480" s="140"/>
    </row>
    <row r="481" ht="15.75" customHeight="1">
      <c r="C481" s="137"/>
      <c r="D481" s="138"/>
      <c r="E481" s="138"/>
      <c r="F481" s="138"/>
      <c r="J481" s="138"/>
      <c r="K481" s="138"/>
      <c r="L481" s="138"/>
      <c r="M481" s="139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32"/>
      <c r="AE481" s="140"/>
      <c r="AF481" s="140"/>
      <c r="AG481" s="140"/>
      <c r="AH481" s="140"/>
      <c r="AI481" s="140"/>
      <c r="AJ481" s="141"/>
      <c r="AK481" s="140"/>
      <c r="AL481" s="140"/>
      <c r="AM481" s="140"/>
      <c r="AN481" s="140"/>
      <c r="AO481" s="140"/>
      <c r="AP481" s="140"/>
      <c r="AQ481" s="138"/>
      <c r="AR481" s="140"/>
      <c r="AS481" s="140"/>
      <c r="AT481" s="140"/>
      <c r="AU481" s="140"/>
      <c r="AV481" s="138"/>
      <c r="AW481" s="138"/>
      <c r="AX481" s="140"/>
      <c r="AY481" s="140"/>
      <c r="AZ481" s="140"/>
      <c r="BA481" s="140"/>
      <c r="BB481" s="140"/>
      <c r="BC481" s="140"/>
    </row>
    <row r="482" ht="15.75" customHeight="1">
      <c r="C482" s="137"/>
      <c r="D482" s="138"/>
      <c r="E482" s="138"/>
      <c r="F482" s="138"/>
      <c r="J482" s="138"/>
      <c r="K482" s="138"/>
      <c r="L482" s="138"/>
      <c r="M482" s="139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32"/>
      <c r="AE482" s="140"/>
      <c r="AF482" s="140"/>
      <c r="AG482" s="140"/>
      <c r="AH482" s="140"/>
      <c r="AI482" s="140"/>
      <c r="AJ482" s="141"/>
      <c r="AK482" s="140"/>
      <c r="AL482" s="140"/>
      <c r="AM482" s="140"/>
      <c r="AN482" s="140"/>
      <c r="AO482" s="140"/>
      <c r="AP482" s="140"/>
      <c r="AQ482" s="138"/>
      <c r="AR482" s="140"/>
      <c r="AS482" s="140"/>
      <c r="AT482" s="140"/>
      <c r="AU482" s="140"/>
      <c r="AV482" s="138"/>
      <c r="AW482" s="138"/>
      <c r="AX482" s="140"/>
      <c r="AY482" s="140"/>
      <c r="AZ482" s="140"/>
      <c r="BA482" s="140"/>
      <c r="BB482" s="140"/>
      <c r="BC482" s="140"/>
    </row>
    <row r="483" ht="15.75" customHeight="1">
      <c r="C483" s="137"/>
      <c r="D483" s="138"/>
      <c r="E483" s="138"/>
      <c r="F483" s="138"/>
      <c r="J483" s="138"/>
      <c r="K483" s="138"/>
      <c r="L483" s="138"/>
      <c r="M483" s="139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32"/>
      <c r="AE483" s="140"/>
      <c r="AF483" s="140"/>
      <c r="AG483" s="140"/>
      <c r="AH483" s="140"/>
      <c r="AI483" s="140"/>
      <c r="AJ483" s="141"/>
      <c r="AK483" s="140"/>
      <c r="AL483" s="140"/>
      <c r="AM483" s="140"/>
      <c r="AN483" s="140"/>
      <c r="AO483" s="140"/>
      <c r="AP483" s="140"/>
      <c r="AQ483" s="138"/>
      <c r="AR483" s="140"/>
      <c r="AS483" s="140"/>
      <c r="AT483" s="140"/>
      <c r="AU483" s="140"/>
      <c r="AV483" s="138"/>
      <c r="AW483" s="138"/>
      <c r="AX483" s="140"/>
      <c r="AY483" s="140"/>
      <c r="AZ483" s="140"/>
      <c r="BA483" s="140"/>
      <c r="BB483" s="140"/>
      <c r="BC483" s="140"/>
    </row>
    <row r="484" ht="15.75" customHeight="1">
      <c r="C484" s="137"/>
      <c r="D484" s="138"/>
      <c r="E484" s="138"/>
      <c r="F484" s="138"/>
      <c r="J484" s="138"/>
      <c r="K484" s="138"/>
      <c r="L484" s="138"/>
      <c r="M484" s="139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32"/>
      <c r="AE484" s="140"/>
      <c r="AF484" s="140"/>
      <c r="AG484" s="140"/>
      <c r="AH484" s="140"/>
      <c r="AI484" s="140"/>
      <c r="AJ484" s="141"/>
      <c r="AK484" s="140"/>
      <c r="AL484" s="140"/>
      <c r="AM484" s="140"/>
      <c r="AN484" s="140"/>
      <c r="AO484" s="140"/>
      <c r="AP484" s="140"/>
      <c r="AQ484" s="138"/>
      <c r="AR484" s="140"/>
      <c r="AS484" s="140"/>
      <c r="AT484" s="140"/>
      <c r="AU484" s="140"/>
      <c r="AV484" s="138"/>
      <c r="AW484" s="138"/>
      <c r="AX484" s="140"/>
      <c r="AY484" s="140"/>
      <c r="AZ484" s="140"/>
      <c r="BA484" s="140"/>
      <c r="BB484" s="140"/>
      <c r="BC484" s="140"/>
    </row>
    <row r="485" ht="15.75" customHeight="1">
      <c r="C485" s="137"/>
      <c r="D485" s="138"/>
      <c r="E485" s="138"/>
      <c r="F485" s="138"/>
      <c r="J485" s="138"/>
      <c r="K485" s="138"/>
      <c r="L485" s="138"/>
      <c r="M485" s="139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32"/>
      <c r="AE485" s="140"/>
      <c r="AF485" s="140"/>
      <c r="AG485" s="140"/>
      <c r="AH485" s="140"/>
      <c r="AI485" s="140"/>
      <c r="AJ485" s="141"/>
      <c r="AK485" s="140"/>
      <c r="AL485" s="140"/>
      <c r="AM485" s="140"/>
      <c r="AN485" s="140"/>
      <c r="AO485" s="140"/>
      <c r="AP485" s="140"/>
      <c r="AQ485" s="138"/>
      <c r="AR485" s="140"/>
      <c r="AS485" s="140"/>
      <c r="AT485" s="140"/>
      <c r="AU485" s="140"/>
      <c r="AV485" s="138"/>
      <c r="AW485" s="138"/>
      <c r="AX485" s="140"/>
      <c r="AY485" s="140"/>
      <c r="AZ485" s="140"/>
      <c r="BA485" s="140"/>
      <c r="BB485" s="140"/>
      <c r="BC485" s="140"/>
    </row>
    <row r="486" ht="15.75" customHeight="1">
      <c r="C486" s="137"/>
      <c r="D486" s="138"/>
      <c r="E486" s="138"/>
      <c r="F486" s="138"/>
      <c r="J486" s="138"/>
      <c r="K486" s="138"/>
      <c r="L486" s="138"/>
      <c r="M486" s="139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32"/>
      <c r="AE486" s="140"/>
      <c r="AF486" s="140"/>
      <c r="AG486" s="140"/>
      <c r="AH486" s="140"/>
      <c r="AI486" s="140"/>
      <c r="AJ486" s="141"/>
      <c r="AK486" s="140"/>
      <c r="AL486" s="140"/>
      <c r="AM486" s="140"/>
      <c r="AN486" s="140"/>
      <c r="AO486" s="140"/>
      <c r="AP486" s="140"/>
      <c r="AQ486" s="138"/>
      <c r="AR486" s="140"/>
      <c r="AS486" s="140"/>
      <c r="AT486" s="140"/>
      <c r="AU486" s="140"/>
      <c r="AV486" s="138"/>
      <c r="AW486" s="138"/>
      <c r="AX486" s="140"/>
      <c r="AY486" s="140"/>
      <c r="AZ486" s="140"/>
      <c r="BA486" s="140"/>
      <c r="BB486" s="140"/>
      <c r="BC486" s="140"/>
    </row>
    <row r="487" ht="15.75" customHeight="1">
      <c r="C487" s="137"/>
      <c r="D487" s="138"/>
      <c r="E487" s="138"/>
      <c r="F487" s="138"/>
      <c r="J487" s="138"/>
      <c r="K487" s="138"/>
      <c r="L487" s="138"/>
      <c r="M487" s="139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32"/>
      <c r="AE487" s="140"/>
      <c r="AF487" s="140"/>
      <c r="AG487" s="140"/>
      <c r="AH487" s="140"/>
      <c r="AI487" s="140"/>
      <c r="AJ487" s="141"/>
      <c r="AK487" s="140"/>
      <c r="AL487" s="140"/>
      <c r="AM487" s="140"/>
      <c r="AN487" s="140"/>
      <c r="AO487" s="140"/>
      <c r="AP487" s="140"/>
      <c r="AQ487" s="138"/>
      <c r="AR487" s="140"/>
      <c r="AS487" s="140"/>
      <c r="AT487" s="140"/>
      <c r="AU487" s="140"/>
      <c r="AV487" s="138"/>
      <c r="AW487" s="138"/>
      <c r="AX487" s="140"/>
      <c r="AY487" s="140"/>
      <c r="AZ487" s="140"/>
      <c r="BA487" s="140"/>
      <c r="BB487" s="140"/>
      <c r="BC487" s="140"/>
    </row>
    <row r="488" ht="15.75" customHeight="1">
      <c r="C488" s="137"/>
      <c r="D488" s="138"/>
      <c r="E488" s="138"/>
      <c r="F488" s="138"/>
      <c r="J488" s="138"/>
      <c r="K488" s="138"/>
      <c r="L488" s="138"/>
      <c r="M488" s="139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32"/>
      <c r="AE488" s="140"/>
      <c r="AF488" s="140"/>
      <c r="AG488" s="140"/>
      <c r="AH488" s="140"/>
      <c r="AI488" s="140"/>
      <c r="AJ488" s="141"/>
      <c r="AK488" s="140"/>
      <c r="AL488" s="140"/>
      <c r="AM488" s="140"/>
      <c r="AN488" s="140"/>
      <c r="AO488" s="140"/>
      <c r="AP488" s="140"/>
      <c r="AQ488" s="138"/>
      <c r="AR488" s="140"/>
      <c r="AS488" s="140"/>
      <c r="AT488" s="140"/>
      <c r="AU488" s="140"/>
      <c r="AV488" s="138"/>
      <c r="AW488" s="138"/>
      <c r="AX488" s="140"/>
      <c r="AY488" s="140"/>
      <c r="AZ488" s="140"/>
      <c r="BA488" s="140"/>
      <c r="BB488" s="140"/>
      <c r="BC488" s="140"/>
    </row>
    <row r="489" ht="15.75" customHeight="1">
      <c r="C489" s="137"/>
      <c r="D489" s="138"/>
      <c r="E489" s="138"/>
      <c r="F489" s="138"/>
      <c r="J489" s="138"/>
      <c r="K489" s="138"/>
      <c r="L489" s="138"/>
      <c r="M489" s="139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32"/>
      <c r="AE489" s="140"/>
      <c r="AF489" s="140"/>
      <c r="AG489" s="140"/>
      <c r="AH489" s="140"/>
      <c r="AI489" s="140"/>
      <c r="AJ489" s="141"/>
      <c r="AK489" s="140"/>
      <c r="AL489" s="140"/>
      <c r="AM489" s="140"/>
      <c r="AN489" s="140"/>
      <c r="AO489" s="140"/>
      <c r="AP489" s="140"/>
      <c r="AQ489" s="138"/>
      <c r="AR489" s="140"/>
      <c r="AS489" s="140"/>
      <c r="AT489" s="140"/>
      <c r="AU489" s="140"/>
      <c r="AV489" s="138"/>
      <c r="AW489" s="138"/>
      <c r="AX489" s="140"/>
      <c r="AY489" s="140"/>
      <c r="AZ489" s="140"/>
      <c r="BA489" s="140"/>
      <c r="BB489" s="140"/>
      <c r="BC489" s="140"/>
    </row>
    <row r="490" ht="15.75" customHeight="1">
      <c r="C490" s="137"/>
      <c r="D490" s="138"/>
      <c r="E490" s="138"/>
      <c r="F490" s="138"/>
      <c r="J490" s="138"/>
      <c r="K490" s="138"/>
      <c r="L490" s="138"/>
      <c r="M490" s="139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32"/>
      <c r="AE490" s="140"/>
      <c r="AF490" s="140"/>
      <c r="AG490" s="140"/>
      <c r="AH490" s="140"/>
      <c r="AI490" s="140"/>
      <c r="AJ490" s="141"/>
      <c r="AK490" s="140"/>
      <c r="AL490" s="140"/>
      <c r="AM490" s="140"/>
      <c r="AN490" s="140"/>
      <c r="AO490" s="140"/>
      <c r="AP490" s="140"/>
      <c r="AQ490" s="138"/>
      <c r="AR490" s="140"/>
      <c r="AS490" s="140"/>
      <c r="AT490" s="140"/>
      <c r="AU490" s="140"/>
      <c r="AV490" s="138"/>
      <c r="AW490" s="138"/>
      <c r="AX490" s="140"/>
      <c r="AY490" s="140"/>
      <c r="AZ490" s="140"/>
      <c r="BA490" s="140"/>
      <c r="BB490" s="140"/>
      <c r="BC490" s="140"/>
    </row>
    <row r="491" ht="15.75" customHeight="1">
      <c r="C491" s="137"/>
      <c r="D491" s="138"/>
      <c r="E491" s="138"/>
      <c r="F491" s="138"/>
      <c r="J491" s="138"/>
      <c r="K491" s="138"/>
      <c r="L491" s="138"/>
      <c r="M491" s="139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32"/>
      <c r="AE491" s="140"/>
      <c r="AF491" s="140"/>
      <c r="AG491" s="140"/>
      <c r="AH491" s="140"/>
      <c r="AI491" s="140"/>
      <c r="AJ491" s="141"/>
      <c r="AK491" s="140"/>
      <c r="AL491" s="140"/>
      <c r="AM491" s="140"/>
      <c r="AN491" s="140"/>
      <c r="AO491" s="140"/>
      <c r="AP491" s="140"/>
      <c r="AQ491" s="138"/>
      <c r="AR491" s="140"/>
      <c r="AS491" s="140"/>
      <c r="AT491" s="140"/>
      <c r="AU491" s="140"/>
      <c r="AV491" s="138"/>
      <c r="AW491" s="138"/>
      <c r="AX491" s="140"/>
      <c r="AY491" s="140"/>
      <c r="AZ491" s="140"/>
      <c r="BA491" s="140"/>
      <c r="BB491" s="140"/>
      <c r="BC491" s="140"/>
    </row>
    <row r="492" ht="15.75" customHeight="1">
      <c r="C492" s="137"/>
      <c r="D492" s="138"/>
      <c r="E492" s="138"/>
      <c r="F492" s="138"/>
      <c r="J492" s="138"/>
      <c r="K492" s="138"/>
      <c r="L492" s="138"/>
      <c r="M492" s="139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32"/>
      <c r="AE492" s="140"/>
      <c r="AF492" s="140"/>
      <c r="AG492" s="140"/>
      <c r="AH492" s="140"/>
      <c r="AI492" s="140"/>
      <c r="AJ492" s="141"/>
      <c r="AK492" s="140"/>
      <c r="AL492" s="140"/>
      <c r="AM492" s="140"/>
      <c r="AN492" s="140"/>
      <c r="AO492" s="140"/>
      <c r="AP492" s="140"/>
      <c r="AQ492" s="138"/>
      <c r="AR492" s="140"/>
      <c r="AS492" s="140"/>
      <c r="AT492" s="140"/>
      <c r="AU492" s="140"/>
      <c r="AV492" s="138"/>
      <c r="AW492" s="138"/>
      <c r="AX492" s="140"/>
      <c r="AY492" s="140"/>
      <c r="AZ492" s="140"/>
      <c r="BA492" s="140"/>
      <c r="BB492" s="140"/>
      <c r="BC492" s="140"/>
    </row>
    <row r="493" ht="15.75" customHeight="1">
      <c r="C493" s="137"/>
      <c r="D493" s="138"/>
      <c r="E493" s="138"/>
      <c r="F493" s="138"/>
      <c r="J493" s="138"/>
      <c r="K493" s="138"/>
      <c r="L493" s="138"/>
      <c r="M493" s="139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32"/>
      <c r="AE493" s="140"/>
      <c r="AF493" s="140"/>
      <c r="AG493" s="140"/>
      <c r="AH493" s="140"/>
      <c r="AI493" s="140"/>
      <c r="AJ493" s="141"/>
      <c r="AK493" s="140"/>
      <c r="AL493" s="140"/>
      <c r="AM493" s="140"/>
      <c r="AN493" s="140"/>
      <c r="AO493" s="140"/>
      <c r="AP493" s="140"/>
      <c r="AQ493" s="138"/>
      <c r="AR493" s="140"/>
      <c r="AS493" s="140"/>
      <c r="AT493" s="140"/>
      <c r="AU493" s="140"/>
      <c r="AV493" s="138"/>
      <c r="AW493" s="138"/>
      <c r="AX493" s="140"/>
      <c r="AY493" s="140"/>
      <c r="AZ493" s="140"/>
      <c r="BA493" s="140"/>
      <c r="BB493" s="140"/>
      <c r="BC493" s="140"/>
    </row>
    <row r="494" ht="15.75" customHeight="1">
      <c r="C494" s="137"/>
      <c r="D494" s="138"/>
      <c r="E494" s="138"/>
      <c r="F494" s="138"/>
      <c r="J494" s="138"/>
      <c r="K494" s="138"/>
      <c r="L494" s="138"/>
      <c r="M494" s="139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32"/>
      <c r="AE494" s="140"/>
      <c r="AF494" s="140"/>
      <c r="AG494" s="140"/>
      <c r="AH494" s="140"/>
      <c r="AI494" s="140"/>
      <c r="AJ494" s="141"/>
      <c r="AK494" s="140"/>
      <c r="AL494" s="140"/>
      <c r="AM494" s="140"/>
      <c r="AN494" s="140"/>
      <c r="AO494" s="140"/>
      <c r="AP494" s="140"/>
      <c r="AQ494" s="138"/>
      <c r="AR494" s="140"/>
      <c r="AS494" s="140"/>
      <c r="AT494" s="140"/>
      <c r="AU494" s="140"/>
      <c r="AV494" s="138"/>
      <c r="AW494" s="138"/>
      <c r="AX494" s="140"/>
      <c r="AY494" s="140"/>
      <c r="AZ494" s="140"/>
      <c r="BA494" s="140"/>
      <c r="BB494" s="140"/>
      <c r="BC494" s="140"/>
    </row>
    <row r="495" ht="15.75" customHeight="1">
      <c r="C495" s="137"/>
      <c r="D495" s="138"/>
      <c r="E495" s="138"/>
      <c r="F495" s="138"/>
      <c r="J495" s="138"/>
      <c r="K495" s="138"/>
      <c r="L495" s="138"/>
      <c r="M495" s="139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32"/>
      <c r="AE495" s="140"/>
      <c r="AF495" s="140"/>
      <c r="AG495" s="140"/>
      <c r="AH495" s="140"/>
      <c r="AI495" s="140"/>
      <c r="AJ495" s="141"/>
      <c r="AK495" s="140"/>
      <c r="AL495" s="140"/>
      <c r="AM495" s="140"/>
      <c r="AN495" s="140"/>
      <c r="AO495" s="140"/>
      <c r="AP495" s="140"/>
      <c r="AQ495" s="138"/>
      <c r="AR495" s="140"/>
      <c r="AS495" s="140"/>
      <c r="AT495" s="140"/>
      <c r="AU495" s="140"/>
      <c r="AV495" s="138"/>
      <c r="AW495" s="138"/>
      <c r="AX495" s="140"/>
      <c r="AY495" s="140"/>
      <c r="AZ495" s="140"/>
      <c r="BA495" s="140"/>
      <c r="BB495" s="140"/>
      <c r="BC495" s="140"/>
    </row>
    <row r="496" ht="15.75" customHeight="1">
      <c r="C496" s="137"/>
      <c r="D496" s="138"/>
      <c r="E496" s="138"/>
      <c r="F496" s="138"/>
      <c r="J496" s="138"/>
      <c r="K496" s="138"/>
      <c r="L496" s="138"/>
      <c r="M496" s="139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32"/>
      <c r="AE496" s="140"/>
      <c r="AF496" s="140"/>
      <c r="AG496" s="140"/>
      <c r="AH496" s="140"/>
      <c r="AI496" s="140"/>
      <c r="AJ496" s="141"/>
      <c r="AK496" s="140"/>
      <c r="AL496" s="140"/>
      <c r="AM496" s="140"/>
      <c r="AN496" s="140"/>
      <c r="AO496" s="140"/>
      <c r="AP496" s="140"/>
      <c r="AQ496" s="138"/>
      <c r="AR496" s="140"/>
      <c r="AS496" s="140"/>
      <c r="AT496" s="140"/>
      <c r="AU496" s="140"/>
      <c r="AV496" s="138"/>
      <c r="AW496" s="138"/>
      <c r="AX496" s="140"/>
      <c r="AY496" s="140"/>
      <c r="AZ496" s="140"/>
      <c r="BA496" s="140"/>
      <c r="BB496" s="140"/>
      <c r="BC496" s="140"/>
    </row>
    <row r="497" ht="15.75" customHeight="1">
      <c r="C497" s="137"/>
      <c r="D497" s="138"/>
      <c r="E497" s="138"/>
      <c r="F497" s="138"/>
      <c r="J497" s="138"/>
      <c r="K497" s="138"/>
      <c r="L497" s="138"/>
      <c r="M497" s="139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32"/>
      <c r="AE497" s="140"/>
      <c r="AF497" s="140"/>
      <c r="AG497" s="140"/>
      <c r="AH497" s="140"/>
      <c r="AI497" s="140"/>
      <c r="AJ497" s="141"/>
      <c r="AK497" s="140"/>
      <c r="AL497" s="140"/>
      <c r="AM497" s="140"/>
      <c r="AN497" s="140"/>
      <c r="AO497" s="140"/>
      <c r="AP497" s="140"/>
      <c r="AQ497" s="138"/>
      <c r="AR497" s="140"/>
      <c r="AS497" s="140"/>
      <c r="AT497" s="140"/>
      <c r="AU497" s="140"/>
      <c r="AV497" s="138"/>
      <c r="AW497" s="138"/>
      <c r="AX497" s="140"/>
      <c r="AY497" s="140"/>
      <c r="AZ497" s="140"/>
      <c r="BA497" s="140"/>
      <c r="BB497" s="140"/>
      <c r="BC497" s="140"/>
    </row>
    <row r="498" ht="15.75" customHeight="1">
      <c r="C498" s="137"/>
      <c r="D498" s="138"/>
      <c r="E498" s="138"/>
      <c r="F498" s="138"/>
      <c r="J498" s="138"/>
      <c r="K498" s="138"/>
      <c r="L498" s="138"/>
      <c r="M498" s="139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32"/>
      <c r="AE498" s="140"/>
      <c r="AF498" s="140"/>
      <c r="AG498" s="140"/>
      <c r="AH498" s="140"/>
      <c r="AI498" s="140"/>
      <c r="AJ498" s="141"/>
      <c r="AK498" s="140"/>
      <c r="AL498" s="140"/>
      <c r="AM498" s="140"/>
      <c r="AN498" s="140"/>
      <c r="AO498" s="140"/>
      <c r="AP498" s="140"/>
      <c r="AQ498" s="138"/>
      <c r="AR498" s="140"/>
      <c r="AS498" s="140"/>
      <c r="AT498" s="140"/>
      <c r="AU498" s="140"/>
      <c r="AV498" s="138"/>
      <c r="AW498" s="138"/>
      <c r="AX498" s="140"/>
      <c r="AY498" s="140"/>
      <c r="AZ498" s="140"/>
      <c r="BA498" s="140"/>
      <c r="BB498" s="140"/>
      <c r="BC498" s="140"/>
    </row>
    <row r="499" ht="15.75" customHeight="1">
      <c r="C499" s="137"/>
      <c r="D499" s="138"/>
      <c r="E499" s="138"/>
      <c r="F499" s="138"/>
      <c r="J499" s="138"/>
      <c r="K499" s="138"/>
      <c r="L499" s="138"/>
      <c r="M499" s="139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32"/>
      <c r="AE499" s="140"/>
      <c r="AF499" s="140"/>
      <c r="AG499" s="140"/>
      <c r="AH499" s="140"/>
      <c r="AI499" s="140"/>
      <c r="AJ499" s="141"/>
      <c r="AK499" s="140"/>
      <c r="AL499" s="140"/>
      <c r="AM499" s="140"/>
      <c r="AN499" s="140"/>
      <c r="AO499" s="140"/>
      <c r="AP499" s="140"/>
      <c r="AQ499" s="138"/>
      <c r="AR499" s="140"/>
      <c r="AS499" s="140"/>
      <c r="AT499" s="140"/>
      <c r="AU499" s="140"/>
      <c r="AV499" s="138"/>
      <c r="AW499" s="138"/>
      <c r="AX499" s="140"/>
      <c r="AY499" s="140"/>
      <c r="AZ499" s="140"/>
      <c r="BA499" s="140"/>
      <c r="BB499" s="140"/>
      <c r="BC499" s="140"/>
    </row>
    <row r="500" ht="15.75" customHeight="1">
      <c r="C500" s="137"/>
      <c r="D500" s="138"/>
      <c r="E500" s="138"/>
      <c r="F500" s="138"/>
      <c r="J500" s="138"/>
      <c r="K500" s="138"/>
      <c r="L500" s="138"/>
      <c r="M500" s="139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32"/>
      <c r="AE500" s="140"/>
      <c r="AF500" s="140"/>
      <c r="AG500" s="140"/>
      <c r="AH500" s="140"/>
      <c r="AI500" s="140"/>
      <c r="AJ500" s="141"/>
      <c r="AK500" s="140"/>
      <c r="AL500" s="140"/>
      <c r="AM500" s="140"/>
      <c r="AN500" s="140"/>
      <c r="AO500" s="140"/>
      <c r="AP500" s="140"/>
      <c r="AQ500" s="138"/>
      <c r="AR500" s="140"/>
      <c r="AS500" s="140"/>
      <c r="AT500" s="140"/>
      <c r="AU500" s="140"/>
      <c r="AV500" s="138"/>
      <c r="AW500" s="138"/>
      <c r="AX500" s="140"/>
      <c r="AY500" s="140"/>
      <c r="AZ500" s="140"/>
      <c r="BA500" s="140"/>
      <c r="BB500" s="140"/>
      <c r="BC500" s="140"/>
    </row>
    <row r="501" ht="15.75" customHeight="1">
      <c r="C501" s="137"/>
      <c r="D501" s="138"/>
      <c r="E501" s="138"/>
      <c r="F501" s="138"/>
      <c r="J501" s="138"/>
      <c r="K501" s="138"/>
      <c r="L501" s="138"/>
      <c r="M501" s="139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32"/>
      <c r="AE501" s="140"/>
      <c r="AF501" s="140"/>
      <c r="AG501" s="140"/>
      <c r="AH501" s="140"/>
      <c r="AI501" s="140"/>
      <c r="AJ501" s="141"/>
      <c r="AK501" s="140"/>
      <c r="AL501" s="140"/>
      <c r="AM501" s="140"/>
      <c r="AN501" s="140"/>
      <c r="AO501" s="140"/>
      <c r="AP501" s="140"/>
      <c r="AQ501" s="138"/>
      <c r="AR501" s="140"/>
      <c r="AS501" s="140"/>
      <c r="AT501" s="140"/>
      <c r="AU501" s="140"/>
      <c r="AV501" s="138"/>
      <c r="AW501" s="138"/>
      <c r="AX501" s="140"/>
      <c r="AY501" s="140"/>
      <c r="AZ501" s="140"/>
      <c r="BA501" s="140"/>
      <c r="BB501" s="140"/>
      <c r="BC501" s="140"/>
    </row>
    <row r="502" ht="15.75" customHeight="1">
      <c r="C502" s="137"/>
      <c r="D502" s="138"/>
      <c r="E502" s="138"/>
      <c r="F502" s="138"/>
      <c r="J502" s="138"/>
      <c r="K502" s="138"/>
      <c r="L502" s="138"/>
      <c r="M502" s="139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32"/>
      <c r="AE502" s="140"/>
      <c r="AF502" s="140"/>
      <c r="AG502" s="140"/>
      <c r="AH502" s="140"/>
      <c r="AI502" s="140"/>
      <c r="AJ502" s="141"/>
      <c r="AK502" s="140"/>
      <c r="AL502" s="140"/>
      <c r="AM502" s="140"/>
      <c r="AN502" s="140"/>
      <c r="AO502" s="140"/>
      <c r="AP502" s="140"/>
      <c r="AQ502" s="138"/>
      <c r="AR502" s="140"/>
      <c r="AS502" s="140"/>
      <c r="AT502" s="140"/>
      <c r="AU502" s="140"/>
      <c r="AV502" s="138"/>
      <c r="AW502" s="138"/>
      <c r="AX502" s="140"/>
      <c r="AY502" s="140"/>
      <c r="AZ502" s="140"/>
      <c r="BA502" s="140"/>
      <c r="BB502" s="140"/>
      <c r="BC502" s="140"/>
    </row>
    <row r="503" ht="15.75" customHeight="1">
      <c r="C503" s="137"/>
      <c r="D503" s="138"/>
      <c r="E503" s="138"/>
      <c r="F503" s="138"/>
      <c r="J503" s="138"/>
      <c r="K503" s="138"/>
      <c r="L503" s="138"/>
      <c r="M503" s="139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32"/>
      <c r="AE503" s="140"/>
      <c r="AF503" s="140"/>
      <c r="AG503" s="140"/>
      <c r="AH503" s="140"/>
      <c r="AI503" s="140"/>
      <c r="AJ503" s="141"/>
      <c r="AK503" s="140"/>
      <c r="AL503" s="140"/>
      <c r="AM503" s="140"/>
      <c r="AN503" s="140"/>
      <c r="AO503" s="140"/>
      <c r="AP503" s="140"/>
      <c r="AQ503" s="138"/>
      <c r="AR503" s="140"/>
      <c r="AS503" s="140"/>
      <c r="AT503" s="140"/>
      <c r="AU503" s="140"/>
      <c r="AV503" s="138"/>
      <c r="AW503" s="138"/>
      <c r="AX503" s="140"/>
      <c r="AY503" s="140"/>
      <c r="AZ503" s="140"/>
      <c r="BA503" s="140"/>
      <c r="BB503" s="140"/>
      <c r="BC503" s="140"/>
    </row>
    <row r="504" ht="15.75" customHeight="1">
      <c r="C504" s="137"/>
      <c r="D504" s="138"/>
      <c r="E504" s="138"/>
      <c r="F504" s="138"/>
      <c r="J504" s="138"/>
      <c r="K504" s="138"/>
      <c r="L504" s="138"/>
      <c r="M504" s="139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32"/>
      <c r="AE504" s="140"/>
      <c r="AF504" s="140"/>
      <c r="AG504" s="140"/>
      <c r="AH504" s="140"/>
      <c r="AI504" s="140"/>
      <c r="AJ504" s="141"/>
      <c r="AK504" s="140"/>
      <c r="AL504" s="140"/>
      <c r="AM504" s="140"/>
      <c r="AN504" s="140"/>
      <c r="AO504" s="140"/>
      <c r="AP504" s="140"/>
      <c r="AQ504" s="138"/>
      <c r="AR504" s="140"/>
      <c r="AS504" s="140"/>
      <c r="AT504" s="140"/>
      <c r="AU504" s="140"/>
      <c r="AV504" s="138"/>
      <c r="AW504" s="138"/>
      <c r="AX504" s="140"/>
      <c r="AY504" s="140"/>
      <c r="AZ504" s="140"/>
      <c r="BA504" s="140"/>
      <c r="BB504" s="140"/>
      <c r="BC504" s="140"/>
    </row>
    <row r="505" ht="15.75" customHeight="1">
      <c r="C505" s="137"/>
      <c r="D505" s="138"/>
      <c r="E505" s="138"/>
      <c r="F505" s="138"/>
      <c r="J505" s="138"/>
      <c r="K505" s="138"/>
      <c r="L505" s="138"/>
      <c r="M505" s="139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32"/>
      <c r="AE505" s="140"/>
      <c r="AF505" s="140"/>
      <c r="AG505" s="140"/>
      <c r="AH505" s="140"/>
      <c r="AI505" s="140"/>
      <c r="AJ505" s="141"/>
      <c r="AK505" s="140"/>
      <c r="AL505" s="140"/>
      <c r="AM505" s="140"/>
      <c r="AN505" s="140"/>
      <c r="AO505" s="140"/>
      <c r="AP505" s="140"/>
      <c r="AQ505" s="138"/>
      <c r="AR505" s="140"/>
      <c r="AS505" s="140"/>
      <c r="AT505" s="140"/>
      <c r="AU505" s="140"/>
      <c r="AV505" s="138"/>
      <c r="AW505" s="138"/>
      <c r="AX505" s="140"/>
      <c r="AY505" s="140"/>
      <c r="AZ505" s="140"/>
      <c r="BA505" s="140"/>
      <c r="BB505" s="140"/>
      <c r="BC505" s="140"/>
    </row>
    <row r="506" ht="15.75" customHeight="1">
      <c r="C506" s="137"/>
      <c r="D506" s="138"/>
      <c r="E506" s="138"/>
      <c r="F506" s="138"/>
      <c r="J506" s="138"/>
      <c r="K506" s="138"/>
      <c r="L506" s="138"/>
      <c r="M506" s="139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32"/>
      <c r="AE506" s="140"/>
      <c r="AF506" s="140"/>
      <c r="AG506" s="140"/>
      <c r="AH506" s="140"/>
      <c r="AI506" s="140"/>
      <c r="AJ506" s="141"/>
      <c r="AK506" s="140"/>
      <c r="AL506" s="140"/>
      <c r="AM506" s="140"/>
      <c r="AN506" s="140"/>
      <c r="AO506" s="140"/>
      <c r="AP506" s="140"/>
      <c r="AQ506" s="138"/>
      <c r="AR506" s="140"/>
      <c r="AS506" s="140"/>
      <c r="AT506" s="140"/>
      <c r="AU506" s="140"/>
      <c r="AV506" s="138"/>
      <c r="AW506" s="138"/>
      <c r="AX506" s="140"/>
      <c r="AY506" s="140"/>
      <c r="AZ506" s="140"/>
      <c r="BA506" s="140"/>
      <c r="BB506" s="140"/>
      <c r="BC506" s="140"/>
    </row>
    <row r="507" ht="15.75" customHeight="1">
      <c r="C507" s="137"/>
      <c r="D507" s="138"/>
      <c r="E507" s="138"/>
      <c r="F507" s="138"/>
      <c r="J507" s="138"/>
      <c r="K507" s="138"/>
      <c r="L507" s="138"/>
      <c r="M507" s="139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32"/>
      <c r="AE507" s="140"/>
      <c r="AF507" s="140"/>
      <c r="AG507" s="140"/>
      <c r="AH507" s="140"/>
      <c r="AI507" s="140"/>
      <c r="AJ507" s="141"/>
      <c r="AK507" s="140"/>
      <c r="AL507" s="140"/>
      <c r="AM507" s="140"/>
      <c r="AN507" s="140"/>
      <c r="AO507" s="140"/>
      <c r="AP507" s="140"/>
      <c r="AQ507" s="138"/>
      <c r="AR507" s="140"/>
      <c r="AS507" s="140"/>
      <c r="AT507" s="140"/>
      <c r="AU507" s="140"/>
      <c r="AV507" s="138"/>
      <c r="AW507" s="138"/>
      <c r="AX507" s="140"/>
      <c r="AY507" s="140"/>
      <c r="AZ507" s="140"/>
      <c r="BA507" s="140"/>
      <c r="BB507" s="140"/>
      <c r="BC507" s="140"/>
    </row>
    <row r="508" ht="15.75" customHeight="1">
      <c r="C508" s="137"/>
      <c r="D508" s="138"/>
      <c r="E508" s="138"/>
      <c r="F508" s="138"/>
      <c r="J508" s="138"/>
      <c r="K508" s="138"/>
      <c r="L508" s="138"/>
      <c r="M508" s="139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32"/>
      <c r="AE508" s="140"/>
      <c r="AF508" s="140"/>
      <c r="AG508" s="140"/>
      <c r="AH508" s="140"/>
      <c r="AI508" s="140"/>
      <c r="AJ508" s="141"/>
      <c r="AK508" s="140"/>
      <c r="AL508" s="140"/>
      <c r="AM508" s="140"/>
      <c r="AN508" s="140"/>
      <c r="AO508" s="140"/>
      <c r="AP508" s="140"/>
      <c r="AQ508" s="138"/>
      <c r="AR508" s="140"/>
      <c r="AS508" s="140"/>
      <c r="AT508" s="140"/>
      <c r="AU508" s="140"/>
      <c r="AV508" s="138"/>
      <c r="AW508" s="138"/>
      <c r="AX508" s="140"/>
      <c r="AY508" s="140"/>
      <c r="AZ508" s="140"/>
      <c r="BA508" s="140"/>
      <c r="BB508" s="140"/>
      <c r="BC508" s="140"/>
    </row>
    <row r="509" ht="15.75" customHeight="1">
      <c r="C509" s="137"/>
      <c r="D509" s="138"/>
      <c r="E509" s="138"/>
      <c r="F509" s="138"/>
      <c r="J509" s="138"/>
      <c r="K509" s="138"/>
      <c r="L509" s="138"/>
      <c r="M509" s="139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32"/>
      <c r="AE509" s="140"/>
      <c r="AF509" s="140"/>
      <c r="AG509" s="140"/>
      <c r="AH509" s="140"/>
      <c r="AI509" s="140"/>
      <c r="AJ509" s="141"/>
      <c r="AK509" s="140"/>
      <c r="AL509" s="140"/>
      <c r="AM509" s="140"/>
      <c r="AN509" s="140"/>
      <c r="AO509" s="140"/>
      <c r="AP509" s="140"/>
      <c r="AQ509" s="138"/>
      <c r="AR509" s="140"/>
      <c r="AS509" s="140"/>
      <c r="AT509" s="140"/>
      <c r="AU509" s="140"/>
      <c r="AV509" s="138"/>
      <c r="AW509" s="138"/>
      <c r="AX509" s="140"/>
      <c r="AY509" s="140"/>
      <c r="AZ509" s="140"/>
      <c r="BA509" s="140"/>
      <c r="BB509" s="140"/>
      <c r="BC509" s="140"/>
    </row>
    <row r="510" ht="15.75" customHeight="1">
      <c r="C510" s="137"/>
      <c r="D510" s="138"/>
      <c r="E510" s="138"/>
      <c r="F510" s="138"/>
      <c r="J510" s="138"/>
      <c r="K510" s="138"/>
      <c r="L510" s="138"/>
      <c r="M510" s="139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32"/>
      <c r="AE510" s="140"/>
      <c r="AF510" s="140"/>
      <c r="AG510" s="140"/>
      <c r="AH510" s="140"/>
      <c r="AI510" s="140"/>
      <c r="AJ510" s="141"/>
      <c r="AK510" s="140"/>
      <c r="AL510" s="140"/>
      <c r="AM510" s="140"/>
      <c r="AN510" s="140"/>
      <c r="AO510" s="140"/>
      <c r="AP510" s="140"/>
      <c r="AQ510" s="138"/>
      <c r="AR510" s="140"/>
      <c r="AS510" s="140"/>
      <c r="AT510" s="140"/>
      <c r="AU510" s="140"/>
      <c r="AV510" s="138"/>
      <c r="AW510" s="138"/>
      <c r="AX510" s="140"/>
      <c r="AY510" s="140"/>
      <c r="AZ510" s="140"/>
      <c r="BA510" s="140"/>
      <c r="BB510" s="140"/>
      <c r="BC510" s="140"/>
    </row>
    <row r="511" ht="15.75" customHeight="1">
      <c r="C511" s="137"/>
      <c r="D511" s="138"/>
      <c r="E511" s="138"/>
      <c r="F511" s="138"/>
      <c r="J511" s="138"/>
      <c r="K511" s="138"/>
      <c r="L511" s="138"/>
      <c r="M511" s="139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32"/>
      <c r="AE511" s="140"/>
      <c r="AF511" s="140"/>
      <c r="AG511" s="140"/>
      <c r="AH511" s="140"/>
      <c r="AI511" s="140"/>
      <c r="AJ511" s="141"/>
      <c r="AK511" s="140"/>
      <c r="AL511" s="140"/>
      <c r="AM511" s="140"/>
      <c r="AN511" s="140"/>
      <c r="AO511" s="140"/>
      <c r="AP511" s="140"/>
      <c r="AQ511" s="138"/>
      <c r="AR511" s="140"/>
      <c r="AS511" s="140"/>
      <c r="AT511" s="140"/>
      <c r="AU511" s="140"/>
      <c r="AV511" s="138"/>
      <c r="AW511" s="138"/>
      <c r="AX511" s="140"/>
      <c r="AY511" s="140"/>
      <c r="AZ511" s="140"/>
      <c r="BA511" s="140"/>
      <c r="BB511" s="140"/>
      <c r="BC511" s="140"/>
    </row>
    <row r="512" ht="15.75" customHeight="1">
      <c r="C512" s="137"/>
      <c r="D512" s="138"/>
      <c r="E512" s="138"/>
      <c r="F512" s="138"/>
      <c r="J512" s="138"/>
      <c r="K512" s="138"/>
      <c r="L512" s="138"/>
      <c r="M512" s="139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32"/>
      <c r="AE512" s="140"/>
      <c r="AF512" s="140"/>
      <c r="AG512" s="140"/>
      <c r="AH512" s="140"/>
      <c r="AI512" s="140"/>
      <c r="AJ512" s="141"/>
      <c r="AK512" s="140"/>
      <c r="AL512" s="140"/>
      <c r="AM512" s="140"/>
      <c r="AN512" s="140"/>
      <c r="AO512" s="140"/>
      <c r="AP512" s="140"/>
      <c r="AQ512" s="138"/>
      <c r="AR512" s="140"/>
      <c r="AS512" s="140"/>
      <c r="AT512" s="140"/>
      <c r="AU512" s="140"/>
      <c r="AV512" s="138"/>
      <c r="AW512" s="138"/>
      <c r="AX512" s="140"/>
      <c r="AY512" s="140"/>
      <c r="AZ512" s="140"/>
      <c r="BA512" s="140"/>
      <c r="BB512" s="140"/>
      <c r="BC512" s="140"/>
    </row>
    <row r="513" ht="15.75" customHeight="1">
      <c r="C513" s="137"/>
      <c r="D513" s="138"/>
      <c r="E513" s="138"/>
      <c r="F513" s="138"/>
      <c r="J513" s="138"/>
      <c r="K513" s="138"/>
      <c r="L513" s="138"/>
      <c r="M513" s="139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32"/>
      <c r="AE513" s="140"/>
      <c r="AF513" s="140"/>
      <c r="AG513" s="140"/>
      <c r="AH513" s="140"/>
      <c r="AI513" s="140"/>
      <c r="AJ513" s="141"/>
      <c r="AK513" s="140"/>
      <c r="AL513" s="140"/>
      <c r="AM513" s="140"/>
      <c r="AN513" s="140"/>
      <c r="AO513" s="140"/>
      <c r="AP513" s="140"/>
      <c r="AQ513" s="138"/>
      <c r="AR513" s="140"/>
      <c r="AS513" s="140"/>
      <c r="AT513" s="140"/>
      <c r="AU513" s="140"/>
      <c r="AV513" s="138"/>
      <c r="AW513" s="138"/>
      <c r="AX513" s="140"/>
      <c r="AY513" s="140"/>
      <c r="AZ513" s="140"/>
      <c r="BA513" s="140"/>
      <c r="BB513" s="140"/>
      <c r="BC513" s="140"/>
    </row>
    <row r="514" ht="15.75" customHeight="1">
      <c r="C514" s="137"/>
      <c r="D514" s="138"/>
      <c r="E514" s="138"/>
      <c r="F514" s="138"/>
      <c r="J514" s="138"/>
      <c r="K514" s="138"/>
      <c r="L514" s="138"/>
      <c r="M514" s="139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32"/>
      <c r="AE514" s="140"/>
      <c r="AF514" s="140"/>
      <c r="AG514" s="140"/>
      <c r="AH514" s="140"/>
      <c r="AI514" s="140"/>
      <c r="AJ514" s="141"/>
      <c r="AK514" s="140"/>
      <c r="AL514" s="140"/>
      <c r="AM514" s="140"/>
      <c r="AN514" s="140"/>
      <c r="AO514" s="140"/>
      <c r="AP514" s="140"/>
      <c r="AQ514" s="138"/>
      <c r="AR514" s="140"/>
      <c r="AS514" s="140"/>
      <c r="AT514" s="140"/>
      <c r="AU514" s="140"/>
      <c r="AV514" s="138"/>
      <c r="AW514" s="138"/>
      <c r="AX514" s="140"/>
      <c r="AY514" s="140"/>
      <c r="AZ514" s="140"/>
      <c r="BA514" s="140"/>
      <c r="BB514" s="140"/>
      <c r="BC514" s="140"/>
    </row>
    <row r="515" ht="15.75" customHeight="1">
      <c r="C515" s="137"/>
      <c r="D515" s="138"/>
      <c r="E515" s="138"/>
      <c r="F515" s="138"/>
      <c r="J515" s="138"/>
      <c r="K515" s="138"/>
      <c r="L515" s="138"/>
      <c r="M515" s="139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32"/>
      <c r="AE515" s="140"/>
      <c r="AF515" s="140"/>
      <c r="AG515" s="140"/>
      <c r="AH515" s="140"/>
      <c r="AI515" s="140"/>
      <c r="AJ515" s="141"/>
      <c r="AK515" s="140"/>
      <c r="AL515" s="140"/>
      <c r="AM515" s="140"/>
      <c r="AN515" s="140"/>
      <c r="AO515" s="140"/>
      <c r="AP515" s="140"/>
      <c r="AQ515" s="138"/>
      <c r="AR515" s="140"/>
      <c r="AS515" s="140"/>
      <c r="AT515" s="140"/>
      <c r="AU515" s="140"/>
      <c r="AV515" s="138"/>
      <c r="AW515" s="138"/>
      <c r="AX515" s="140"/>
      <c r="AY515" s="140"/>
      <c r="AZ515" s="140"/>
      <c r="BA515" s="140"/>
      <c r="BB515" s="140"/>
      <c r="BC515" s="140"/>
    </row>
    <row r="516" ht="15.75" customHeight="1">
      <c r="C516" s="137"/>
      <c r="D516" s="138"/>
      <c r="E516" s="138"/>
      <c r="F516" s="138"/>
      <c r="J516" s="138"/>
      <c r="K516" s="138"/>
      <c r="L516" s="138"/>
      <c r="M516" s="139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32"/>
      <c r="AE516" s="140"/>
      <c r="AF516" s="140"/>
      <c r="AG516" s="140"/>
      <c r="AH516" s="140"/>
      <c r="AI516" s="140"/>
      <c r="AJ516" s="141"/>
      <c r="AK516" s="140"/>
      <c r="AL516" s="140"/>
      <c r="AM516" s="140"/>
      <c r="AN516" s="140"/>
      <c r="AO516" s="140"/>
      <c r="AP516" s="140"/>
      <c r="AQ516" s="138"/>
      <c r="AR516" s="140"/>
      <c r="AS516" s="140"/>
      <c r="AT516" s="140"/>
      <c r="AU516" s="140"/>
      <c r="AV516" s="138"/>
      <c r="AW516" s="138"/>
      <c r="AX516" s="140"/>
      <c r="AY516" s="140"/>
      <c r="AZ516" s="140"/>
      <c r="BA516" s="140"/>
      <c r="BB516" s="140"/>
      <c r="BC516" s="140"/>
    </row>
    <row r="517" ht="15.75" customHeight="1">
      <c r="C517" s="137"/>
      <c r="D517" s="138"/>
      <c r="E517" s="138"/>
      <c r="F517" s="138"/>
      <c r="J517" s="138"/>
      <c r="K517" s="138"/>
      <c r="L517" s="138"/>
      <c r="M517" s="139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32"/>
      <c r="AE517" s="140"/>
      <c r="AF517" s="140"/>
      <c r="AG517" s="140"/>
      <c r="AH517" s="140"/>
      <c r="AI517" s="140"/>
      <c r="AJ517" s="141"/>
      <c r="AK517" s="140"/>
      <c r="AL517" s="140"/>
      <c r="AM517" s="140"/>
      <c r="AN517" s="140"/>
      <c r="AO517" s="140"/>
      <c r="AP517" s="140"/>
      <c r="AQ517" s="138"/>
      <c r="AR517" s="140"/>
      <c r="AS517" s="140"/>
      <c r="AT517" s="140"/>
      <c r="AU517" s="140"/>
      <c r="AV517" s="138"/>
      <c r="AW517" s="138"/>
      <c r="AX517" s="140"/>
      <c r="AY517" s="140"/>
      <c r="AZ517" s="140"/>
      <c r="BA517" s="140"/>
      <c r="BB517" s="140"/>
      <c r="BC517" s="140"/>
    </row>
    <row r="518" ht="15.75" customHeight="1">
      <c r="C518" s="137"/>
      <c r="D518" s="138"/>
      <c r="E518" s="138"/>
      <c r="F518" s="138"/>
      <c r="J518" s="138"/>
      <c r="K518" s="138"/>
      <c r="L518" s="138"/>
      <c r="M518" s="139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32"/>
      <c r="AE518" s="140"/>
      <c r="AF518" s="140"/>
      <c r="AG518" s="140"/>
      <c r="AH518" s="140"/>
      <c r="AI518" s="140"/>
      <c r="AJ518" s="141"/>
      <c r="AK518" s="140"/>
      <c r="AL518" s="140"/>
      <c r="AM518" s="140"/>
      <c r="AN518" s="140"/>
      <c r="AO518" s="140"/>
      <c r="AP518" s="140"/>
      <c r="AQ518" s="138"/>
      <c r="AR518" s="140"/>
      <c r="AS518" s="140"/>
      <c r="AT518" s="140"/>
      <c r="AU518" s="140"/>
      <c r="AV518" s="138"/>
      <c r="AW518" s="138"/>
      <c r="AX518" s="140"/>
      <c r="AY518" s="140"/>
      <c r="AZ518" s="140"/>
      <c r="BA518" s="140"/>
      <c r="BB518" s="140"/>
      <c r="BC518" s="140"/>
    </row>
    <row r="519" ht="15.75" customHeight="1">
      <c r="C519" s="137"/>
      <c r="D519" s="138"/>
      <c r="E519" s="138"/>
      <c r="F519" s="138"/>
      <c r="J519" s="138"/>
      <c r="K519" s="138"/>
      <c r="L519" s="138"/>
      <c r="M519" s="139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32"/>
      <c r="AE519" s="140"/>
      <c r="AF519" s="140"/>
      <c r="AG519" s="140"/>
      <c r="AH519" s="140"/>
      <c r="AI519" s="140"/>
      <c r="AJ519" s="141"/>
      <c r="AK519" s="140"/>
      <c r="AL519" s="140"/>
      <c r="AM519" s="140"/>
      <c r="AN519" s="140"/>
      <c r="AO519" s="140"/>
      <c r="AP519" s="140"/>
      <c r="AQ519" s="138"/>
      <c r="AR519" s="140"/>
      <c r="AS519" s="140"/>
      <c r="AT519" s="140"/>
      <c r="AU519" s="140"/>
      <c r="AV519" s="138"/>
      <c r="AW519" s="138"/>
      <c r="AX519" s="140"/>
      <c r="AY519" s="140"/>
      <c r="AZ519" s="140"/>
      <c r="BA519" s="140"/>
      <c r="BB519" s="140"/>
      <c r="BC519" s="140"/>
    </row>
    <row r="520" ht="15.75" customHeight="1">
      <c r="C520" s="137"/>
      <c r="D520" s="138"/>
      <c r="E520" s="138"/>
      <c r="F520" s="138"/>
      <c r="J520" s="138"/>
      <c r="K520" s="138"/>
      <c r="L520" s="138"/>
      <c r="M520" s="139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32"/>
      <c r="AE520" s="140"/>
      <c r="AF520" s="140"/>
      <c r="AG520" s="140"/>
      <c r="AH520" s="140"/>
      <c r="AI520" s="140"/>
      <c r="AJ520" s="141"/>
      <c r="AK520" s="140"/>
      <c r="AL520" s="140"/>
      <c r="AM520" s="140"/>
      <c r="AN520" s="140"/>
      <c r="AO520" s="140"/>
      <c r="AP520" s="140"/>
      <c r="AQ520" s="138"/>
      <c r="AR520" s="140"/>
      <c r="AS520" s="140"/>
      <c r="AT520" s="140"/>
      <c r="AU520" s="140"/>
      <c r="AV520" s="138"/>
      <c r="AW520" s="138"/>
      <c r="AX520" s="140"/>
      <c r="AY520" s="140"/>
      <c r="AZ520" s="140"/>
      <c r="BA520" s="140"/>
      <c r="BB520" s="140"/>
      <c r="BC520" s="140"/>
    </row>
    <row r="521" ht="15.75" customHeight="1">
      <c r="C521" s="137"/>
      <c r="D521" s="138"/>
      <c r="E521" s="138"/>
      <c r="F521" s="138"/>
      <c r="J521" s="138"/>
      <c r="K521" s="138"/>
      <c r="L521" s="138"/>
      <c r="M521" s="139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32"/>
      <c r="AE521" s="140"/>
      <c r="AF521" s="140"/>
      <c r="AG521" s="140"/>
      <c r="AH521" s="140"/>
      <c r="AI521" s="140"/>
      <c r="AJ521" s="141"/>
      <c r="AK521" s="140"/>
      <c r="AL521" s="140"/>
      <c r="AM521" s="140"/>
      <c r="AN521" s="140"/>
      <c r="AO521" s="140"/>
      <c r="AP521" s="140"/>
      <c r="AQ521" s="138"/>
      <c r="AR521" s="140"/>
      <c r="AS521" s="140"/>
      <c r="AT521" s="140"/>
      <c r="AU521" s="140"/>
      <c r="AV521" s="138"/>
      <c r="AW521" s="138"/>
      <c r="AX521" s="140"/>
      <c r="AY521" s="140"/>
      <c r="AZ521" s="140"/>
      <c r="BA521" s="140"/>
      <c r="BB521" s="140"/>
      <c r="BC521" s="140"/>
    </row>
    <row r="522" ht="15.75" customHeight="1">
      <c r="C522" s="137"/>
      <c r="D522" s="138"/>
      <c r="E522" s="138"/>
      <c r="F522" s="138"/>
      <c r="J522" s="138"/>
      <c r="K522" s="138"/>
      <c r="L522" s="138"/>
      <c r="M522" s="139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32"/>
      <c r="AE522" s="140"/>
      <c r="AF522" s="140"/>
      <c r="AG522" s="140"/>
      <c r="AH522" s="140"/>
      <c r="AI522" s="140"/>
      <c r="AJ522" s="141"/>
      <c r="AK522" s="140"/>
      <c r="AL522" s="140"/>
      <c r="AM522" s="140"/>
      <c r="AN522" s="140"/>
      <c r="AO522" s="140"/>
      <c r="AP522" s="140"/>
      <c r="AQ522" s="138"/>
      <c r="AR522" s="140"/>
      <c r="AS522" s="140"/>
      <c r="AT522" s="140"/>
      <c r="AU522" s="140"/>
      <c r="AV522" s="138"/>
      <c r="AW522" s="138"/>
      <c r="AX522" s="140"/>
      <c r="AY522" s="140"/>
      <c r="AZ522" s="140"/>
      <c r="BA522" s="140"/>
      <c r="BB522" s="140"/>
      <c r="BC522" s="140"/>
    </row>
    <row r="523" ht="15.75" customHeight="1">
      <c r="C523" s="137"/>
      <c r="D523" s="138"/>
      <c r="E523" s="138"/>
      <c r="F523" s="138"/>
      <c r="J523" s="138"/>
      <c r="K523" s="138"/>
      <c r="L523" s="138"/>
      <c r="M523" s="139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32"/>
      <c r="AE523" s="140"/>
      <c r="AF523" s="140"/>
      <c r="AG523" s="140"/>
      <c r="AH523" s="140"/>
      <c r="AI523" s="140"/>
      <c r="AJ523" s="141"/>
      <c r="AK523" s="140"/>
      <c r="AL523" s="140"/>
      <c r="AM523" s="140"/>
      <c r="AN523" s="140"/>
      <c r="AO523" s="140"/>
      <c r="AP523" s="140"/>
      <c r="AQ523" s="138"/>
      <c r="AR523" s="140"/>
      <c r="AS523" s="140"/>
      <c r="AT523" s="140"/>
      <c r="AU523" s="140"/>
      <c r="AV523" s="138"/>
      <c r="AW523" s="138"/>
      <c r="AX523" s="140"/>
      <c r="AY523" s="140"/>
      <c r="AZ523" s="140"/>
      <c r="BA523" s="140"/>
      <c r="BB523" s="140"/>
      <c r="BC523" s="140"/>
    </row>
    <row r="524" ht="15.75" customHeight="1">
      <c r="C524" s="137"/>
      <c r="D524" s="138"/>
      <c r="E524" s="138"/>
      <c r="F524" s="138"/>
      <c r="J524" s="138"/>
      <c r="K524" s="138"/>
      <c r="L524" s="138"/>
      <c r="M524" s="139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32"/>
      <c r="AE524" s="140"/>
      <c r="AF524" s="140"/>
      <c r="AG524" s="140"/>
      <c r="AH524" s="140"/>
      <c r="AI524" s="140"/>
      <c r="AJ524" s="141"/>
      <c r="AK524" s="140"/>
      <c r="AL524" s="140"/>
      <c r="AM524" s="140"/>
      <c r="AN524" s="140"/>
      <c r="AO524" s="140"/>
      <c r="AP524" s="140"/>
      <c r="AQ524" s="138"/>
      <c r="AR524" s="140"/>
      <c r="AS524" s="140"/>
      <c r="AT524" s="140"/>
      <c r="AU524" s="140"/>
      <c r="AV524" s="138"/>
      <c r="AW524" s="138"/>
      <c r="AX524" s="140"/>
      <c r="AY524" s="140"/>
      <c r="AZ524" s="140"/>
      <c r="BA524" s="140"/>
      <c r="BB524" s="140"/>
      <c r="BC524" s="140"/>
    </row>
    <row r="525" ht="15.75" customHeight="1">
      <c r="C525" s="137"/>
      <c r="D525" s="138"/>
      <c r="E525" s="138"/>
      <c r="F525" s="138"/>
      <c r="J525" s="138"/>
      <c r="K525" s="138"/>
      <c r="L525" s="138"/>
      <c r="M525" s="139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32"/>
      <c r="AE525" s="140"/>
      <c r="AF525" s="140"/>
      <c r="AG525" s="140"/>
      <c r="AH525" s="140"/>
      <c r="AI525" s="140"/>
      <c r="AJ525" s="141"/>
      <c r="AK525" s="140"/>
      <c r="AL525" s="140"/>
      <c r="AM525" s="140"/>
      <c r="AN525" s="140"/>
      <c r="AO525" s="140"/>
      <c r="AP525" s="140"/>
      <c r="AQ525" s="138"/>
      <c r="AR525" s="140"/>
      <c r="AS525" s="140"/>
      <c r="AT525" s="140"/>
      <c r="AU525" s="140"/>
      <c r="AV525" s="138"/>
      <c r="AW525" s="138"/>
      <c r="AX525" s="140"/>
      <c r="AY525" s="140"/>
      <c r="AZ525" s="140"/>
      <c r="BA525" s="140"/>
      <c r="BB525" s="140"/>
      <c r="BC525" s="140"/>
    </row>
    <row r="526" ht="15.75" customHeight="1">
      <c r="C526" s="137"/>
      <c r="D526" s="138"/>
      <c r="E526" s="138"/>
      <c r="F526" s="138"/>
      <c r="J526" s="138"/>
      <c r="K526" s="138"/>
      <c r="L526" s="138"/>
      <c r="M526" s="139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32"/>
      <c r="AE526" s="140"/>
      <c r="AF526" s="140"/>
      <c r="AG526" s="140"/>
      <c r="AH526" s="140"/>
      <c r="AI526" s="140"/>
      <c r="AJ526" s="141"/>
      <c r="AK526" s="140"/>
      <c r="AL526" s="140"/>
      <c r="AM526" s="140"/>
      <c r="AN526" s="140"/>
      <c r="AO526" s="140"/>
      <c r="AP526" s="140"/>
      <c r="AQ526" s="138"/>
      <c r="AR526" s="140"/>
      <c r="AS526" s="140"/>
      <c r="AT526" s="140"/>
      <c r="AU526" s="140"/>
      <c r="AV526" s="138"/>
      <c r="AW526" s="138"/>
      <c r="AX526" s="140"/>
      <c r="AY526" s="140"/>
      <c r="AZ526" s="140"/>
      <c r="BA526" s="140"/>
      <c r="BB526" s="140"/>
      <c r="BC526" s="140"/>
    </row>
    <row r="527" ht="15.75" customHeight="1">
      <c r="C527" s="137"/>
      <c r="D527" s="138"/>
      <c r="E527" s="138"/>
      <c r="F527" s="138"/>
      <c r="J527" s="138"/>
      <c r="K527" s="138"/>
      <c r="L527" s="138"/>
      <c r="M527" s="139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32"/>
      <c r="AE527" s="140"/>
      <c r="AF527" s="140"/>
      <c r="AG527" s="140"/>
      <c r="AH527" s="140"/>
      <c r="AI527" s="140"/>
      <c r="AJ527" s="141"/>
      <c r="AK527" s="140"/>
      <c r="AL527" s="140"/>
      <c r="AM527" s="140"/>
      <c r="AN527" s="140"/>
      <c r="AO527" s="140"/>
      <c r="AP527" s="140"/>
      <c r="AQ527" s="138"/>
      <c r="AR527" s="140"/>
      <c r="AS527" s="140"/>
      <c r="AT527" s="140"/>
      <c r="AU527" s="140"/>
      <c r="AV527" s="138"/>
      <c r="AW527" s="138"/>
      <c r="AX527" s="140"/>
      <c r="AY527" s="140"/>
      <c r="AZ527" s="140"/>
      <c r="BA527" s="140"/>
      <c r="BB527" s="140"/>
      <c r="BC527" s="140"/>
    </row>
    <row r="528" ht="15.75" customHeight="1">
      <c r="C528" s="137"/>
      <c r="D528" s="138"/>
      <c r="E528" s="138"/>
      <c r="F528" s="138"/>
      <c r="J528" s="138"/>
      <c r="K528" s="138"/>
      <c r="L528" s="138"/>
      <c r="M528" s="139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32"/>
      <c r="AE528" s="140"/>
      <c r="AF528" s="140"/>
      <c r="AG528" s="140"/>
      <c r="AH528" s="140"/>
      <c r="AI528" s="140"/>
      <c r="AJ528" s="141"/>
      <c r="AK528" s="140"/>
      <c r="AL528" s="140"/>
      <c r="AM528" s="140"/>
      <c r="AN528" s="140"/>
      <c r="AO528" s="140"/>
      <c r="AP528" s="140"/>
      <c r="AQ528" s="138"/>
      <c r="AR528" s="140"/>
      <c r="AS528" s="140"/>
      <c r="AT528" s="140"/>
      <c r="AU528" s="140"/>
      <c r="AV528" s="138"/>
      <c r="AW528" s="138"/>
      <c r="AX528" s="140"/>
      <c r="AY528" s="140"/>
      <c r="AZ528" s="140"/>
      <c r="BA528" s="140"/>
      <c r="BB528" s="140"/>
      <c r="BC528" s="140"/>
    </row>
    <row r="529" ht="15.75" customHeight="1">
      <c r="C529" s="137"/>
      <c r="D529" s="138"/>
      <c r="E529" s="138"/>
      <c r="F529" s="138"/>
      <c r="J529" s="138"/>
      <c r="K529" s="138"/>
      <c r="L529" s="138"/>
      <c r="M529" s="139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32"/>
      <c r="AE529" s="140"/>
      <c r="AF529" s="140"/>
      <c r="AG529" s="140"/>
      <c r="AH529" s="140"/>
      <c r="AI529" s="140"/>
      <c r="AJ529" s="141"/>
      <c r="AK529" s="140"/>
      <c r="AL529" s="140"/>
      <c r="AM529" s="140"/>
      <c r="AN529" s="140"/>
      <c r="AO529" s="140"/>
      <c r="AP529" s="140"/>
      <c r="AQ529" s="138"/>
      <c r="AR529" s="140"/>
      <c r="AS529" s="140"/>
      <c r="AT529" s="140"/>
      <c r="AU529" s="140"/>
      <c r="AV529" s="138"/>
      <c r="AW529" s="138"/>
      <c r="AX529" s="140"/>
      <c r="AY529" s="140"/>
      <c r="AZ529" s="140"/>
      <c r="BA529" s="140"/>
      <c r="BB529" s="140"/>
      <c r="BC529" s="140"/>
    </row>
    <row r="530" ht="15.75" customHeight="1">
      <c r="C530" s="137"/>
      <c r="D530" s="138"/>
      <c r="E530" s="138"/>
      <c r="F530" s="138"/>
      <c r="J530" s="138"/>
      <c r="K530" s="138"/>
      <c r="L530" s="138"/>
      <c r="M530" s="139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32"/>
      <c r="AE530" s="140"/>
      <c r="AF530" s="140"/>
      <c r="AG530" s="140"/>
      <c r="AH530" s="140"/>
      <c r="AI530" s="140"/>
      <c r="AJ530" s="141"/>
      <c r="AK530" s="140"/>
      <c r="AL530" s="140"/>
      <c r="AM530" s="140"/>
      <c r="AN530" s="140"/>
      <c r="AO530" s="140"/>
      <c r="AP530" s="140"/>
      <c r="AQ530" s="138"/>
      <c r="AR530" s="140"/>
      <c r="AS530" s="140"/>
      <c r="AT530" s="140"/>
      <c r="AU530" s="140"/>
      <c r="AV530" s="138"/>
      <c r="AW530" s="138"/>
      <c r="AX530" s="140"/>
      <c r="AY530" s="140"/>
      <c r="AZ530" s="140"/>
      <c r="BA530" s="140"/>
      <c r="BB530" s="140"/>
      <c r="BC530" s="140"/>
    </row>
    <row r="531" ht="15.75" customHeight="1">
      <c r="C531" s="137"/>
      <c r="D531" s="138"/>
      <c r="E531" s="138"/>
      <c r="F531" s="138"/>
      <c r="J531" s="138"/>
      <c r="K531" s="138"/>
      <c r="L531" s="138"/>
      <c r="M531" s="139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32"/>
      <c r="AE531" s="140"/>
      <c r="AF531" s="140"/>
      <c r="AG531" s="140"/>
      <c r="AH531" s="140"/>
      <c r="AI531" s="140"/>
      <c r="AJ531" s="141"/>
      <c r="AK531" s="140"/>
      <c r="AL531" s="140"/>
      <c r="AM531" s="140"/>
      <c r="AN531" s="140"/>
      <c r="AO531" s="140"/>
      <c r="AP531" s="140"/>
      <c r="AQ531" s="138"/>
      <c r="AR531" s="140"/>
      <c r="AS531" s="140"/>
      <c r="AT531" s="140"/>
      <c r="AU531" s="140"/>
      <c r="AV531" s="138"/>
      <c r="AW531" s="138"/>
      <c r="AX531" s="140"/>
      <c r="AY531" s="140"/>
      <c r="AZ531" s="140"/>
      <c r="BA531" s="140"/>
      <c r="BB531" s="140"/>
      <c r="BC531" s="140"/>
    </row>
    <row r="532" ht="15.75" customHeight="1">
      <c r="C532" s="137"/>
      <c r="D532" s="138"/>
      <c r="E532" s="138"/>
      <c r="F532" s="138"/>
      <c r="J532" s="138"/>
      <c r="K532" s="138"/>
      <c r="L532" s="138"/>
      <c r="M532" s="139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32"/>
      <c r="AE532" s="140"/>
      <c r="AF532" s="140"/>
      <c r="AG532" s="140"/>
      <c r="AH532" s="140"/>
      <c r="AI532" s="140"/>
      <c r="AJ532" s="141"/>
      <c r="AK532" s="140"/>
      <c r="AL532" s="140"/>
      <c r="AM532" s="140"/>
      <c r="AN532" s="140"/>
      <c r="AO532" s="140"/>
      <c r="AP532" s="140"/>
      <c r="AQ532" s="138"/>
      <c r="AR532" s="140"/>
      <c r="AS532" s="140"/>
      <c r="AT532" s="140"/>
      <c r="AU532" s="140"/>
      <c r="AV532" s="138"/>
      <c r="AW532" s="138"/>
      <c r="AX532" s="140"/>
      <c r="AY532" s="140"/>
      <c r="AZ532" s="140"/>
      <c r="BA532" s="140"/>
      <c r="BB532" s="140"/>
      <c r="BC532" s="140"/>
    </row>
    <row r="533" ht="15.75" customHeight="1">
      <c r="C533" s="137"/>
      <c r="D533" s="138"/>
      <c r="E533" s="138"/>
      <c r="F533" s="138"/>
      <c r="J533" s="138"/>
      <c r="K533" s="138"/>
      <c r="L533" s="138"/>
      <c r="M533" s="139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32"/>
      <c r="AE533" s="140"/>
      <c r="AF533" s="140"/>
      <c r="AG533" s="140"/>
      <c r="AH533" s="140"/>
      <c r="AI533" s="140"/>
      <c r="AJ533" s="141"/>
      <c r="AK533" s="140"/>
      <c r="AL533" s="140"/>
      <c r="AM533" s="140"/>
      <c r="AN533" s="140"/>
      <c r="AO533" s="140"/>
      <c r="AP533" s="140"/>
      <c r="AQ533" s="138"/>
      <c r="AR533" s="140"/>
      <c r="AS533" s="140"/>
      <c r="AT533" s="140"/>
      <c r="AU533" s="140"/>
      <c r="AV533" s="138"/>
      <c r="AW533" s="138"/>
      <c r="AX533" s="140"/>
      <c r="AY533" s="140"/>
      <c r="AZ533" s="140"/>
      <c r="BA533" s="140"/>
      <c r="BB533" s="140"/>
      <c r="BC533" s="140"/>
    </row>
    <row r="534" ht="15.75" customHeight="1">
      <c r="C534" s="137"/>
      <c r="D534" s="138"/>
      <c r="E534" s="138"/>
      <c r="F534" s="138"/>
      <c r="J534" s="138"/>
      <c r="K534" s="138"/>
      <c r="L534" s="138"/>
      <c r="M534" s="139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32"/>
      <c r="AE534" s="140"/>
      <c r="AF534" s="140"/>
      <c r="AG534" s="140"/>
      <c r="AH534" s="140"/>
      <c r="AI534" s="140"/>
      <c r="AJ534" s="141"/>
      <c r="AK534" s="140"/>
      <c r="AL534" s="140"/>
      <c r="AM534" s="140"/>
      <c r="AN534" s="140"/>
      <c r="AO534" s="140"/>
      <c r="AP534" s="140"/>
      <c r="AQ534" s="138"/>
      <c r="AR534" s="140"/>
      <c r="AS534" s="140"/>
      <c r="AT534" s="140"/>
      <c r="AU534" s="140"/>
      <c r="AV534" s="138"/>
      <c r="AW534" s="138"/>
      <c r="AX534" s="140"/>
      <c r="AY534" s="140"/>
      <c r="AZ534" s="140"/>
      <c r="BA534" s="140"/>
      <c r="BB534" s="140"/>
      <c r="BC534" s="140"/>
    </row>
    <row r="535" ht="15.75" customHeight="1">
      <c r="C535" s="137"/>
      <c r="D535" s="138"/>
      <c r="E535" s="138"/>
      <c r="F535" s="138"/>
      <c r="J535" s="138"/>
      <c r="K535" s="138"/>
      <c r="L535" s="138"/>
      <c r="M535" s="139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32"/>
      <c r="AE535" s="140"/>
      <c r="AF535" s="140"/>
      <c r="AG535" s="140"/>
      <c r="AH535" s="140"/>
      <c r="AI535" s="140"/>
      <c r="AJ535" s="141"/>
      <c r="AK535" s="140"/>
      <c r="AL535" s="140"/>
      <c r="AM535" s="140"/>
      <c r="AN535" s="140"/>
      <c r="AO535" s="140"/>
      <c r="AP535" s="140"/>
      <c r="AQ535" s="138"/>
      <c r="AR535" s="140"/>
      <c r="AS535" s="140"/>
      <c r="AT535" s="140"/>
      <c r="AU535" s="140"/>
      <c r="AV535" s="138"/>
      <c r="AW535" s="138"/>
      <c r="AX535" s="140"/>
      <c r="AY535" s="140"/>
      <c r="AZ535" s="140"/>
      <c r="BA535" s="140"/>
      <c r="BB535" s="140"/>
      <c r="BC535" s="140"/>
    </row>
    <row r="536" ht="15.75" customHeight="1">
      <c r="C536" s="137"/>
      <c r="D536" s="138"/>
      <c r="E536" s="138"/>
      <c r="F536" s="138"/>
      <c r="J536" s="138"/>
      <c r="K536" s="138"/>
      <c r="L536" s="138"/>
      <c r="M536" s="139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32"/>
      <c r="AE536" s="140"/>
      <c r="AF536" s="140"/>
      <c r="AG536" s="140"/>
      <c r="AH536" s="140"/>
      <c r="AI536" s="140"/>
      <c r="AJ536" s="141"/>
      <c r="AK536" s="140"/>
      <c r="AL536" s="140"/>
      <c r="AM536" s="140"/>
      <c r="AN536" s="140"/>
      <c r="AO536" s="140"/>
      <c r="AP536" s="140"/>
      <c r="AQ536" s="138"/>
      <c r="AR536" s="140"/>
      <c r="AS536" s="140"/>
      <c r="AT536" s="140"/>
      <c r="AU536" s="140"/>
      <c r="AV536" s="138"/>
      <c r="AW536" s="138"/>
      <c r="AX536" s="140"/>
      <c r="AY536" s="140"/>
      <c r="AZ536" s="140"/>
      <c r="BA536" s="140"/>
      <c r="BB536" s="140"/>
      <c r="BC536" s="140"/>
    </row>
    <row r="537" ht="15.75" customHeight="1">
      <c r="C537" s="137"/>
      <c r="D537" s="138"/>
      <c r="E537" s="138"/>
      <c r="F537" s="138"/>
      <c r="J537" s="138"/>
      <c r="K537" s="138"/>
      <c r="L537" s="138"/>
      <c r="M537" s="139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32"/>
      <c r="AE537" s="140"/>
      <c r="AF537" s="140"/>
      <c r="AG537" s="140"/>
      <c r="AH537" s="140"/>
      <c r="AI537" s="140"/>
      <c r="AJ537" s="141"/>
      <c r="AK537" s="140"/>
      <c r="AL537" s="140"/>
      <c r="AM537" s="140"/>
      <c r="AN537" s="140"/>
      <c r="AO537" s="140"/>
      <c r="AP537" s="140"/>
      <c r="AQ537" s="138"/>
      <c r="AR537" s="140"/>
      <c r="AS537" s="140"/>
      <c r="AT537" s="140"/>
      <c r="AU537" s="140"/>
      <c r="AV537" s="138"/>
      <c r="AW537" s="138"/>
      <c r="AX537" s="140"/>
      <c r="AY537" s="140"/>
      <c r="AZ537" s="140"/>
      <c r="BA537" s="140"/>
      <c r="BB537" s="140"/>
      <c r="BC537" s="140"/>
    </row>
    <row r="538" ht="15.75" customHeight="1">
      <c r="C538" s="137"/>
      <c r="D538" s="138"/>
      <c r="E538" s="138"/>
      <c r="F538" s="138"/>
      <c r="J538" s="138"/>
      <c r="K538" s="138"/>
      <c r="L538" s="138"/>
      <c r="M538" s="139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32"/>
      <c r="AE538" s="140"/>
      <c r="AF538" s="140"/>
      <c r="AG538" s="140"/>
      <c r="AH538" s="140"/>
      <c r="AI538" s="140"/>
      <c r="AJ538" s="141"/>
      <c r="AK538" s="140"/>
      <c r="AL538" s="140"/>
      <c r="AM538" s="140"/>
      <c r="AN538" s="140"/>
      <c r="AO538" s="140"/>
      <c r="AP538" s="140"/>
      <c r="AQ538" s="138"/>
      <c r="AR538" s="140"/>
      <c r="AS538" s="140"/>
      <c r="AT538" s="140"/>
      <c r="AU538" s="140"/>
      <c r="AV538" s="138"/>
      <c r="AW538" s="138"/>
      <c r="AX538" s="140"/>
      <c r="AY538" s="140"/>
      <c r="AZ538" s="140"/>
      <c r="BA538" s="140"/>
      <c r="BB538" s="140"/>
      <c r="BC538" s="140"/>
    </row>
    <row r="539" ht="15.75" customHeight="1">
      <c r="C539" s="137"/>
      <c r="D539" s="138"/>
      <c r="E539" s="138"/>
      <c r="F539" s="138"/>
      <c r="J539" s="138"/>
      <c r="K539" s="138"/>
      <c r="L539" s="138"/>
      <c r="M539" s="139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32"/>
      <c r="AE539" s="140"/>
      <c r="AF539" s="140"/>
      <c r="AG539" s="140"/>
      <c r="AH539" s="140"/>
      <c r="AI539" s="140"/>
      <c r="AJ539" s="141"/>
      <c r="AK539" s="140"/>
      <c r="AL539" s="140"/>
      <c r="AM539" s="140"/>
      <c r="AN539" s="140"/>
      <c r="AO539" s="140"/>
      <c r="AP539" s="140"/>
      <c r="AQ539" s="138"/>
      <c r="AR539" s="140"/>
      <c r="AS539" s="140"/>
      <c r="AT539" s="140"/>
      <c r="AU539" s="140"/>
      <c r="AV539" s="138"/>
      <c r="AW539" s="138"/>
      <c r="AX539" s="140"/>
      <c r="AY539" s="140"/>
      <c r="AZ539" s="140"/>
      <c r="BA539" s="140"/>
      <c r="BB539" s="140"/>
      <c r="BC539" s="140"/>
    </row>
    <row r="540" ht="15.75" customHeight="1">
      <c r="C540" s="137"/>
      <c r="D540" s="138"/>
      <c r="E540" s="138"/>
      <c r="F540" s="138"/>
      <c r="J540" s="138"/>
      <c r="K540" s="138"/>
      <c r="L540" s="138"/>
      <c r="M540" s="139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32"/>
      <c r="AE540" s="140"/>
      <c r="AF540" s="140"/>
      <c r="AG540" s="140"/>
      <c r="AH540" s="140"/>
      <c r="AI540" s="140"/>
      <c r="AJ540" s="141"/>
      <c r="AK540" s="140"/>
      <c r="AL540" s="140"/>
      <c r="AM540" s="140"/>
      <c r="AN540" s="140"/>
      <c r="AO540" s="140"/>
      <c r="AP540" s="140"/>
      <c r="AQ540" s="138"/>
      <c r="AR540" s="140"/>
      <c r="AS540" s="140"/>
      <c r="AT540" s="140"/>
      <c r="AU540" s="140"/>
      <c r="AV540" s="138"/>
      <c r="AW540" s="138"/>
      <c r="AX540" s="140"/>
      <c r="AY540" s="140"/>
      <c r="AZ540" s="140"/>
      <c r="BA540" s="140"/>
      <c r="BB540" s="140"/>
      <c r="BC540" s="140"/>
    </row>
    <row r="541" ht="15.75" customHeight="1">
      <c r="C541" s="137"/>
      <c r="D541" s="138"/>
      <c r="E541" s="138"/>
      <c r="F541" s="138"/>
      <c r="J541" s="138"/>
      <c r="K541" s="138"/>
      <c r="L541" s="138"/>
      <c r="M541" s="139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32"/>
      <c r="AE541" s="140"/>
      <c r="AF541" s="140"/>
      <c r="AG541" s="140"/>
      <c r="AH541" s="140"/>
      <c r="AI541" s="140"/>
      <c r="AJ541" s="141"/>
      <c r="AK541" s="140"/>
      <c r="AL541" s="140"/>
      <c r="AM541" s="140"/>
      <c r="AN541" s="140"/>
      <c r="AO541" s="140"/>
      <c r="AP541" s="140"/>
      <c r="AQ541" s="138"/>
      <c r="AR541" s="140"/>
      <c r="AS541" s="140"/>
      <c r="AT541" s="140"/>
      <c r="AU541" s="140"/>
      <c r="AV541" s="138"/>
      <c r="AW541" s="138"/>
      <c r="AX541" s="140"/>
      <c r="AY541" s="140"/>
      <c r="AZ541" s="140"/>
      <c r="BA541" s="140"/>
      <c r="BB541" s="140"/>
      <c r="BC541" s="140"/>
    </row>
    <row r="542" ht="15.75" customHeight="1">
      <c r="C542" s="137"/>
      <c r="D542" s="138"/>
      <c r="E542" s="138"/>
      <c r="F542" s="138"/>
      <c r="J542" s="138"/>
      <c r="K542" s="138"/>
      <c r="L542" s="138"/>
      <c r="M542" s="139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32"/>
      <c r="AE542" s="140"/>
      <c r="AF542" s="140"/>
      <c r="AG542" s="140"/>
      <c r="AH542" s="140"/>
      <c r="AI542" s="140"/>
      <c r="AJ542" s="141"/>
      <c r="AK542" s="140"/>
      <c r="AL542" s="140"/>
      <c r="AM542" s="140"/>
      <c r="AN542" s="140"/>
      <c r="AO542" s="140"/>
      <c r="AP542" s="140"/>
      <c r="AQ542" s="138"/>
      <c r="AR542" s="140"/>
      <c r="AS542" s="140"/>
      <c r="AT542" s="140"/>
      <c r="AU542" s="140"/>
      <c r="AV542" s="138"/>
      <c r="AW542" s="138"/>
      <c r="AX542" s="140"/>
      <c r="AY542" s="140"/>
      <c r="AZ542" s="140"/>
      <c r="BA542" s="140"/>
      <c r="BB542" s="140"/>
      <c r="BC542" s="140"/>
    </row>
    <row r="543" ht="15.75" customHeight="1">
      <c r="C543" s="137"/>
      <c r="D543" s="138"/>
      <c r="E543" s="138"/>
      <c r="F543" s="138"/>
      <c r="J543" s="138"/>
      <c r="K543" s="138"/>
      <c r="L543" s="138"/>
      <c r="M543" s="139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32"/>
      <c r="AE543" s="140"/>
      <c r="AF543" s="140"/>
      <c r="AG543" s="140"/>
      <c r="AH543" s="140"/>
      <c r="AI543" s="140"/>
      <c r="AJ543" s="141"/>
      <c r="AK543" s="140"/>
      <c r="AL543" s="140"/>
      <c r="AM543" s="140"/>
      <c r="AN543" s="140"/>
      <c r="AO543" s="140"/>
      <c r="AP543" s="140"/>
      <c r="AQ543" s="138"/>
      <c r="AR543" s="140"/>
      <c r="AS543" s="140"/>
      <c r="AT543" s="140"/>
      <c r="AU543" s="140"/>
      <c r="AV543" s="138"/>
      <c r="AW543" s="138"/>
      <c r="AX543" s="140"/>
      <c r="AY543" s="140"/>
      <c r="AZ543" s="140"/>
      <c r="BA543" s="140"/>
      <c r="BB543" s="140"/>
      <c r="BC543" s="140"/>
    </row>
    <row r="544" ht="15.75" customHeight="1">
      <c r="C544" s="137"/>
      <c r="D544" s="138"/>
      <c r="E544" s="138"/>
      <c r="F544" s="138"/>
      <c r="J544" s="138"/>
      <c r="K544" s="138"/>
      <c r="L544" s="138"/>
      <c r="M544" s="139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32"/>
      <c r="AE544" s="140"/>
      <c r="AF544" s="140"/>
      <c r="AG544" s="140"/>
      <c r="AH544" s="140"/>
      <c r="AI544" s="140"/>
      <c r="AJ544" s="141"/>
      <c r="AK544" s="140"/>
      <c r="AL544" s="140"/>
      <c r="AM544" s="140"/>
      <c r="AN544" s="140"/>
      <c r="AO544" s="140"/>
      <c r="AP544" s="140"/>
      <c r="AQ544" s="138"/>
      <c r="AR544" s="140"/>
      <c r="AS544" s="140"/>
      <c r="AT544" s="140"/>
      <c r="AU544" s="140"/>
      <c r="AV544" s="138"/>
      <c r="AW544" s="138"/>
      <c r="AX544" s="140"/>
      <c r="AY544" s="140"/>
      <c r="AZ544" s="140"/>
      <c r="BA544" s="140"/>
      <c r="BB544" s="140"/>
      <c r="BC544" s="140"/>
    </row>
    <row r="545" ht="15.75" customHeight="1">
      <c r="C545" s="137"/>
      <c r="D545" s="138"/>
      <c r="E545" s="138"/>
      <c r="F545" s="138"/>
      <c r="J545" s="138"/>
      <c r="K545" s="138"/>
      <c r="L545" s="138"/>
      <c r="M545" s="139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32"/>
      <c r="AE545" s="140"/>
      <c r="AF545" s="140"/>
      <c r="AG545" s="140"/>
      <c r="AH545" s="140"/>
      <c r="AI545" s="140"/>
      <c r="AJ545" s="141"/>
      <c r="AK545" s="140"/>
      <c r="AL545" s="140"/>
      <c r="AM545" s="140"/>
      <c r="AN545" s="140"/>
      <c r="AO545" s="140"/>
      <c r="AP545" s="140"/>
      <c r="AQ545" s="138"/>
      <c r="AR545" s="140"/>
      <c r="AS545" s="140"/>
      <c r="AT545" s="140"/>
      <c r="AU545" s="140"/>
      <c r="AV545" s="138"/>
      <c r="AW545" s="138"/>
      <c r="AX545" s="140"/>
      <c r="AY545" s="140"/>
      <c r="AZ545" s="140"/>
      <c r="BA545" s="140"/>
      <c r="BB545" s="140"/>
      <c r="BC545" s="140"/>
    </row>
    <row r="546" ht="15.75" customHeight="1">
      <c r="C546" s="137"/>
      <c r="D546" s="138"/>
      <c r="E546" s="138"/>
      <c r="F546" s="138"/>
      <c r="J546" s="138"/>
      <c r="K546" s="138"/>
      <c r="L546" s="138"/>
      <c r="M546" s="139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32"/>
      <c r="AE546" s="140"/>
      <c r="AF546" s="140"/>
      <c r="AG546" s="140"/>
      <c r="AH546" s="140"/>
      <c r="AI546" s="140"/>
      <c r="AJ546" s="141"/>
      <c r="AK546" s="140"/>
      <c r="AL546" s="140"/>
      <c r="AM546" s="140"/>
      <c r="AN546" s="140"/>
      <c r="AO546" s="140"/>
      <c r="AP546" s="140"/>
      <c r="AQ546" s="138"/>
      <c r="AR546" s="140"/>
      <c r="AS546" s="140"/>
      <c r="AT546" s="140"/>
      <c r="AU546" s="140"/>
      <c r="AV546" s="138"/>
      <c r="AW546" s="138"/>
      <c r="AX546" s="140"/>
      <c r="AY546" s="140"/>
      <c r="AZ546" s="140"/>
      <c r="BA546" s="140"/>
      <c r="BB546" s="140"/>
      <c r="BC546" s="140"/>
    </row>
    <row r="547" ht="15.75" customHeight="1">
      <c r="C547" s="137"/>
      <c r="D547" s="138"/>
      <c r="E547" s="138"/>
      <c r="F547" s="138"/>
      <c r="J547" s="138"/>
      <c r="K547" s="138"/>
      <c r="L547" s="138"/>
      <c r="M547" s="139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32"/>
      <c r="AE547" s="140"/>
      <c r="AF547" s="140"/>
      <c r="AG547" s="140"/>
      <c r="AH547" s="140"/>
      <c r="AI547" s="140"/>
      <c r="AJ547" s="141"/>
      <c r="AK547" s="140"/>
      <c r="AL547" s="140"/>
      <c r="AM547" s="140"/>
      <c r="AN547" s="140"/>
      <c r="AO547" s="140"/>
      <c r="AP547" s="140"/>
      <c r="AQ547" s="138"/>
      <c r="AR547" s="140"/>
      <c r="AS547" s="140"/>
      <c r="AT547" s="140"/>
      <c r="AU547" s="140"/>
      <c r="AV547" s="138"/>
      <c r="AW547" s="138"/>
      <c r="AX547" s="140"/>
      <c r="AY547" s="140"/>
      <c r="AZ547" s="140"/>
      <c r="BA547" s="140"/>
      <c r="BB547" s="140"/>
      <c r="BC547" s="140"/>
    </row>
    <row r="548" ht="15.75" customHeight="1">
      <c r="C548" s="137"/>
      <c r="D548" s="138"/>
      <c r="E548" s="138"/>
      <c r="F548" s="138"/>
      <c r="J548" s="138"/>
      <c r="K548" s="138"/>
      <c r="L548" s="138"/>
      <c r="M548" s="139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32"/>
      <c r="AE548" s="140"/>
      <c r="AF548" s="140"/>
      <c r="AG548" s="140"/>
      <c r="AH548" s="140"/>
      <c r="AI548" s="140"/>
      <c r="AJ548" s="141"/>
      <c r="AK548" s="140"/>
      <c r="AL548" s="140"/>
      <c r="AM548" s="140"/>
      <c r="AN548" s="140"/>
      <c r="AO548" s="140"/>
      <c r="AP548" s="140"/>
      <c r="AQ548" s="138"/>
      <c r="AR548" s="140"/>
      <c r="AS548" s="140"/>
      <c r="AT548" s="140"/>
      <c r="AU548" s="140"/>
      <c r="AV548" s="138"/>
      <c r="AW548" s="138"/>
      <c r="AX548" s="140"/>
      <c r="AY548" s="140"/>
      <c r="AZ548" s="140"/>
      <c r="BA548" s="140"/>
      <c r="BB548" s="140"/>
      <c r="BC548" s="140"/>
    </row>
    <row r="549" ht="15.75" customHeight="1">
      <c r="C549" s="137"/>
      <c r="D549" s="138"/>
      <c r="E549" s="138"/>
      <c r="F549" s="138"/>
      <c r="J549" s="138"/>
      <c r="K549" s="138"/>
      <c r="L549" s="138"/>
      <c r="M549" s="139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32"/>
      <c r="AE549" s="140"/>
      <c r="AF549" s="140"/>
      <c r="AG549" s="140"/>
      <c r="AH549" s="140"/>
      <c r="AI549" s="140"/>
      <c r="AJ549" s="141"/>
      <c r="AK549" s="140"/>
      <c r="AL549" s="140"/>
      <c r="AM549" s="140"/>
      <c r="AN549" s="140"/>
      <c r="AO549" s="140"/>
      <c r="AP549" s="140"/>
      <c r="AQ549" s="138"/>
      <c r="AR549" s="140"/>
      <c r="AS549" s="140"/>
      <c r="AT549" s="140"/>
      <c r="AU549" s="140"/>
      <c r="AV549" s="138"/>
      <c r="AW549" s="138"/>
      <c r="AX549" s="140"/>
      <c r="AY549" s="140"/>
      <c r="AZ549" s="140"/>
      <c r="BA549" s="140"/>
      <c r="BB549" s="140"/>
      <c r="BC549" s="140"/>
    </row>
    <row r="550" ht="15.75" customHeight="1">
      <c r="C550" s="137"/>
      <c r="D550" s="138"/>
      <c r="E550" s="138"/>
      <c r="F550" s="138"/>
      <c r="J550" s="138"/>
      <c r="K550" s="138"/>
      <c r="L550" s="138"/>
      <c r="M550" s="139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32"/>
      <c r="AE550" s="140"/>
      <c r="AF550" s="140"/>
      <c r="AG550" s="140"/>
      <c r="AH550" s="140"/>
      <c r="AI550" s="140"/>
      <c r="AJ550" s="141"/>
      <c r="AK550" s="140"/>
      <c r="AL550" s="140"/>
      <c r="AM550" s="140"/>
      <c r="AN550" s="140"/>
      <c r="AO550" s="140"/>
      <c r="AP550" s="140"/>
      <c r="AQ550" s="138"/>
      <c r="AR550" s="140"/>
      <c r="AS550" s="140"/>
      <c r="AT550" s="140"/>
      <c r="AU550" s="140"/>
      <c r="AV550" s="138"/>
      <c r="AW550" s="138"/>
      <c r="AX550" s="140"/>
      <c r="AY550" s="140"/>
      <c r="AZ550" s="140"/>
      <c r="BA550" s="140"/>
      <c r="BB550" s="140"/>
      <c r="BC550" s="140"/>
    </row>
    <row r="551" ht="15.75" customHeight="1">
      <c r="C551" s="137"/>
      <c r="D551" s="138"/>
      <c r="E551" s="138"/>
      <c r="F551" s="138"/>
      <c r="J551" s="138"/>
      <c r="K551" s="138"/>
      <c r="L551" s="138"/>
      <c r="M551" s="139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32"/>
      <c r="AE551" s="140"/>
      <c r="AF551" s="140"/>
      <c r="AG551" s="140"/>
      <c r="AH551" s="140"/>
      <c r="AI551" s="140"/>
      <c r="AJ551" s="141"/>
      <c r="AK551" s="140"/>
      <c r="AL551" s="140"/>
      <c r="AM551" s="140"/>
      <c r="AN551" s="140"/>
      <c r="AO551" s="140"/>
      <c r="AP551" s="140"/>
      <c r="AQ551" s="138"/>
      <c r="AR551" s="140"/>
      <c r="AS551" s="140"/>
      <c r="AT551" s="140"/>
      <c r="AU551" s="140"/>
      <c r="AV551" s="138"/>
      <c r="AW551" s="138"/>
      <c r="AX551" s="140"/>
      <c r="AY551" s="140"/>
      <c r="AZ551" s="140"/>
      <c r="BA551" s="140"/>
      <c r="BB551" s="140"/>
      <c r="BC551" s="140"/>
    </row>
    <row r="552" ht="15.75" customHeight="1">
      <c r="C552" s="137"/>
      <c r="D552" s="138"/>
      <c r="E552" s="138"/>
      <c r="F552" s="138"/>
      <c r="J552" s="138"/>
      <c r="K552" s="138"/>
      <c r="L552" s="138"/>
      <c r="M552" s="139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32"/>
      <c r="AE552" s="140"/>
      <c r="AF552" s="140"/>
      <c r="AG552" s="140"/>
      <c r="AH552" s="140"/>
      <c r="AI552" s="140"/>
      <c r="AJ552" s="141"/>
      <c r="AK552" s="140"/>
      <c r="AL552" s="140"/>
      <c r="AM552" s="140"/>
      <c r="AN552" s="140"/>
      <c r="AO552" s="140"/>
      <c r="AP552" s="140"/>
      <c r="AQ552" s="138"/>
      <c r="AR552" s="140"/>
      <c r="AS552" s="140"/>
      <c r="AT552" s="140"/>
      <c r="AU552" s="140"/>
      <c r="AV552" s="138"/>
      <c r="AW552" s="138"/>
      <c r="AX552" s="140"/>
      <c r="AY552" s="140"/>
      <c r="AZ552" s="140"/>
      <c r="BA552" s="140"/>
      <c r="BB552" s="140"/>
      <c r="BC552" s="140"/>
    </row>
    <row r="553" ht="15.75" customHeight="1">
      <c r="C553" s="137"/>
      <c r="D553" s="138"/>
      <c r="E553" s="138"/>
      <c r="F553" s="138"/>
      <c r="J553" s="138"/>
      <c r="K553" s="138"/>
      <c r="L553" s="138"/>
      <c r="M553" s="139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32"/>
      <c r="AE553" s="140"/>
      <c r="AF553" s="140"/>
      <c r="AG553" s="140"/>
      <c r="AH553" s="140"/>
      <c r="AI553" s="140"/>
      <c r="AJ553" s="141"/>
      <c r="AK553" s="140"/>
      <c r="AL553" s="140"/>
      <c r="AM553" s="140"/>
      <c r="AN553" s="140"/>
      <c r="AO553" s="140"/>
      <c r="AP553" s="140"/>
      <c r="AQ553" s="138"/>
      <c r="AR553" s="140"/>
      <c r="AS553" s="140"/>
      <c r="AT553" s="140"/>
      <c r="AU553" s="140"/>
      <c r="AV553" s="138"/>
      <c r="AW553" s="138"/>
      <c r="AX553" s="140"/>
      <c r="AY553" s="140"/>
      <c r="AZ553" s="140"/>
      <c r="BA553" s="140"/>
      <c r="BB553" s="140"/>
      <c r="BC553" s="140"/>
    </row>
    <row r="554" ht="15.75" customHeight="1">
      <c r="C554" s="137"/>
      <c r="D554" s="138"/>
      <c r="E554" s="138"/>
      <c r="F554" s="138"/>
      <c r="J554" s="138"/>
      <c r="K554" s="138"/>
      <c r="L554" s="138"/>
      <c r="M554" s="139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32"/>
      <c r="AE554" s="140"/>
      <c r="AF554" s="140"/>
      <c r="AG554" s="140"/>
      <c r="AH554" s="140"/>
      <c r="AI554" s="140"/>
      <c r="AJ554" s="141"/>
      <c r="AK554" s="140"/>
      <c r="AL554" s="140"/>
      <c r="AM554" s="140"/>
      <c r="AN554" s="140"/>
      <c r="AO554" s="140"/>
      <c r="AP554" s="140"/>
      <c r="AQ554" s="138"/>
      <c r="AR554" s="140"/>
      <c r="AS554" s="140"/>
      <c r="AT554" s="140"/>
      <c r="AU554" s="140"/>
      <c r="AV554" s="138"/>
      <c r="AW554" s="138"/>
      <c r="AX554" s="140"/>
      <c r="AY554" s="140"/>
      <c r="AZ554" s="140"/>
      <c r="BA554" s="140"/>
      <c r="BB554" s="140"/>
      <c r="BC554" s="140"/>
    </row>
    <row r="555" ht="15.75" customHeight="1">
      <c r="C555" s="137"/>
      <c r="D555" s="138"/>
      <c r="E555" s="138"/>
      <c r="F555" s="138"/>
      <c r="J555" s="138"/>
      <c r="K555" s="138"/>
      <c r="L555" s="138"/>
      <c r="M555" s="139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32"/>
      <c r="AE555" s="140"/>
      <c r="AF555" s="140"/>
      <c r="AG555" s="140"/>
      <c r="AH555" s="140"/>
      <c r="AI555" s="140"/>
      <c r="AJ555" s="141"/>
      <c r="AK555" s="140"/>
      <c r="AL555" s="140"/>
      <c r="AM555" s="140"/>
      <c r="AN555" s="140"/>
      <c r="AO555" s="140"/>
      <c r="AP555" s="140"/>
      <c r="AQ555" s="138"/>
      <c r="AR555" s="140"/>
      <c r="AS555" s="140"/>
      <c r="AT555" s="140"/>
      <c r="AU555" s="140"/>
      <c r="AV555" s="138"/>
      <c r="AW555" s="138"/>
      <c r="AX555" s="140"/>
      <c r="AY555" s="140"/>
      <c r="AZ555" s="140"/>
      <c r="BA555" s="140"/>
      <c r="BB555" s="140"/>
      <c r="BC555" s="140"/>
    </row>
    <row r="556" ht="15.75" customHeight="1">
      <c r="C556" s="137"/>
      <c r="D556" s="138"/>
      <c r="E556" s="138"/>
      <c r="F556" s="138"/>
      <c r="J556" s="138"/>
      <c r="K556" s="138"/>
      <c r="L556" s="138"/>
      <c r="M556" s="139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32"/>
      <c r="AE556" s="140"/>
      <c r="AF556" s="140"/>
      <c r="AG556" s="140"/>
      <c r="AH556" s="140"/>
      <c r="AI556" s="140"/>
      <c r="AJ556" s="141"/>
      <c r="AK556" s="140"/>
      <c r="AL556" s="140"/>
      <c r="AM556" s="140"/>
      <c r="AN556" s="140"/>
      <c r="AO556" s="140"/>
      <c r="AP556" s="140"/>
      <c r="AQ556" s="138"/>
      <c r="AR556" s="140"/>
      <c r="AS556" s="140"/>
      <c r="AT556" s="140"/>
      <c r="AU556" s="140"/>
      <c r="AV556" s="138"/>
      <c r="AW556" s="138"/>
      <c r="AX556" s="140"/>
      <c r="AY556" s="140"/>
      <c r="AZ556" s="140"/>
      <c r="BA556" s="140"/>
      <c r="BB556" s="140"/>
      <c r="BC556" s="140"/>
    </row>
    <row r="557" ht="15.75" customHeight="1">
      <c r="C557" s="137"/>
      <c r="D557" s="138"/>
      <c r="E557" s="138"/>
      <c r="F557" s="138"/>
      <c r="J557" s="138"/>
      <c r="K557" s="138"/>
      <c r="L557" s="138"/>
      <c r="M557" s="139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32"/>
      <c r="AE557" s="140"/>
      <c r="AF557" s="140"/>
      <c r="AG557" s="140"/>
      <c r="AH557" s="140"/>
      <c r="AI557" s="140"/>
      <c r="AJ557" s="141"/>
      <c r="AK557" s="140"/>
      <c r="AL557" s="140"/>
      <c r="AM557" s="140"/>
      <c r="AN557" s="140"/>
      <c r="AO557" s="140"/>
      <c r="AP557" s="140"/>
      <c r="AQ557" s="138"/>
      <c r="AR557" s="140"/>
      <c r="AS557" s="140"/>
      <c r="AT557" s="140"/>
      <c r="AU557" s="140"/>
      <c r="AV557" s="138"/>
      <c r="AW557" s="138"/>
      <c r="AX557" s="140"/>
      <c r="AY557" s="140"/>
      <c r="AZ557" s="140"/>
      <c r="BA557" s="140"/>
      <c r="BB557" s="140"/>
      <c r="BC557" s="140"/>
    </row>
    <row r="558" ht="15.75" customHeight="1">
      <c r="C558" s="137"/>
      <c r="D558" s="138"/>
      <c r="E558" s="138"/>
      <c r="F558" s="138"/>
      <c r="J558" s="138"/>
      <c r="K558" s="138"/>
      <c r="L558" s="138"/>
      <c r="M558" s="139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32"/>
      <c r="AE558" s="140"/>
      <c r="AF558" s="140"/>
      <c r="AG558" s="140"/>
      <c r="AH558" s="140"/>
      <c r="AI558" s="140"/>
      <c r="AJ558" s="141"/>
      <c r="AK558" s="140"/>
      <c r="AL558" s="140"/>
      <c r="AM558" s="140"/>
      <c r="AN558" s="140"/>
      <c r="AO558" s="140"/>
      <c r="AP558" s="140"/>
      <c r="AQ558" s="138"/>
      <c r="AR558" s="140"/>
      <c r="AS558" s="140"/>
      <c r="AT558" s="140"/>
      <c r="AU558" s="140"/>
      <c r="AV558" s="138"/>
      <c r="AW558" s="138"/>
      <c r="AX558" s="140"/>
      <c r="AY558" s="140"/>
      <c r="AZ558" s="140"/>
      <c r="BA558" s="140"/>
      <c r="BB558" s="140"/>
      <c r="BC558" s="140"/>
    </row>
    <row r="559" ht="15.75" customHeight="1">
      <c r="C559" s="137"/>
      <c r="D559" s="138"/>
      <c r="E559" s="138"/>
      <c r="F559" s="138"/>
      <c r="J559" s="138"/>
      <c r="K559" s="138"/>
      <c r="L559" s="138"/>
      <c r="M559" s="139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32"/>
      <c r="AE559" s="140"/>
      <c r="AF559" s="140"/>
      <c r="AG559" s="140"/>
      <c r="AH559" s="140"/>
      <c r="AI559" s="140"/>
      <c r="AJ559" s="141"/>
      <c r="AK559" s="140"/>
      <c r="AL559" s="140"/>
      <c r="AM559" s="140"/>
      <c r="AN559" s="140"/>
      <c r="AO559" s="140"/>
      <c r="AP559" s="140"/>
      <c r="AQ559" s="138"/>
      <c r="AR559" s="140"/>
      <c r="AS559" s="140"/>
      <c r="AT559" s="140"/>
      <c r="AU559" s="140"/>
      <c r="AV559" s="138"/>
      <c r="AW559" s="138"/>
      <c r="AX559" s="140"/>
      <c r="AY559" s="140"/>
      <c r="AZ559" s="140"/>
      <c r="BA559" s="140"/>
      <c r="BB559" s="140"/>
      <c r="BC559" s="140"/>
    </row>
    <row r="560" ht="15.75" customHeight="1">
      <c r="C560" s="137"/>
      <c r="D560" s="138"/>
      <c r="E560" s="138"/>
      <c r="F560" s="138"/>
      <c r="J560" s="138"/>
      <c r="K560" s="138"/>
      <c r="L560" s="138"/>
      <c r="M560" s="139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32"/>
      <c r="AE560" s="140"/>
      <c r="AF560" s="140"/>
      <c r="AG560" s="140"/>
      <c r="AH560" s="140"/>
      <c r="AI560" s="140"/>
      <c r="AJ560" s="141"/>
      <c r="AK560" s="140"/>
      <c r="AL560" s="140"/>
      <c r="AM560" s="140"/>
      <c r="AN560" s="140"/>
      <c r="AO560" s="140"/>
      <c r="AP560" s="140"/>
      <c r="AQ560" s="138"/>
      <c r="AR560" s="140"/>
      <c r="AS560" s="140"/>
      <c r="AT560" s="140"/>
      <c r="AU560" s="140"/>
      <c r="AV560" s="138"/>
      <c r="AW560" s="138"/>
      <c r="AX560" s="140"/>
      <c r="AY560" s="140"/>
      <c r="AZ560" s="140"/>
      <c r="BA560" s="140"/>
      <c r="BB560" s="140"/>
      <c r="BC560" s="140"/>
    </row>
    <row r="561" ht="15.75" customHeight="1">
      <c r="C561" s="137"/>
      <c r="D561" s="138"/>
      <c r="E561" s="138"/>
      <c r="F561" s="138"/>
      <c r="J561" s="138"/>
      <c r="K561" s="138"/>
      <c r="L561" s="138"/>
      <c r="M561" s="139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32"/>
      <c r="AE561" s="140"/>
      <c r="AF561" s="140"/>
      <c r="AG561" s="140"/>
      <c r="AH561" s="140"/>
      <c r="AI561" s="140"/>
      <c r="AJ561" s="141"/>
      <c r="AK561" s="140"/>
      <c r="AL561" s="140"/>
      <c r="AM561" s="140"/>
      <c r="AN561" s="140"/>
      <c r="AO561" s="140"/>
      <c r="AP561" s="140"/>
      <c r="AQ561" s="138"/>
      <c r="AR561" s="140"/>
      <c r="AS561" s="140"/>
      <c r="AT561" s="140"/>
      <c r="AU561" s="140"/>
      <c r="AV561" s="138"/>
      <c r="AW561" s="138"/>
      <c r="AX561" s="140"/>
      <c r="AY561" s="140"/>
      <c r="AZ561" s="140"/>
      <c r="BA561" s="140"/>
      <c r="BB561" s="140"/>
      <c r="BC561" s="140"/>
    </row>
    <row r="562" ht="15.75" customHeight="1">
      <c r="C562" s="137"/>
      <c r="D562" s="138"/>
      <c r="E562" s="138"/>
      <c r="F562" s="138"/>
      <c r="J562" s="138"/>
      <c r="K562" s="138"/>
      <c r="L562" s="138"/>
      <c r="M562" s="139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32"/>
      <c r="AE562" s="140"/>
      <c r="AF562" s="140"/>
      <c r="AG562" s="140"/>
      <c r="AH562" s="140"/>
      <c r="AI562" s="140"/>
      <c r="AJ562" s="141"/>
      <c r="AK562" s="140"/>
      <c r="AL562" s="140"/>
      <c r="AM562" s="140"/>
      <c r="AN562" s="140"/>
      <c r="AO562" s="140"/>
      <c r="AP562" s="140"/>
      <c r="AQ562" s="138"/>
      <c r="AR562" s="140"/>
      <c r="AS562" s="140"/>
      <c r="AT562" s="140"/>
      <c r="AU562" s="140"/>
      <c r="AV562" s="138"/>
      <c r="AW562" s="138"/>
      <c r="AX562" s="140"/>
      <c r="AY562" s="140"/>
      <c r="AZ562" s="140"/>
      <c r="BA562" s="140"/>
      <c r="BB562" s="140"/>
      <c r="BC562" s="140"/>
    </row>
    <row r="563" ht="15.75" customHeight="1">
      <c r="C563" s="137"/>
      <c r="D563" s="138"/>
      <c r="E563" s="138"/>
      <c r="F563" s="138"/>
      <c r="J563" s="138"/>
      <c r="K563" s="138"/>
      <c r="L563" s="138"/>
      <c r="M563" s="139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32"/>
      <c r="AE563" s="140"/>
      <c r="AF563" s="140"/>
      <c r="AG563" s="140"/>
      <c r="AH563" s="140"/>
      <c r="AI563" s="140"/>
      <c r="AJ563" s="141"/>
      <c r="AK563" s="140"/>
      <c r="AL563" s="140"/>
      <c r="AM563" s="140"/>
      <c r="AN563" s="140"/>
      <c r="AO563" s="140"/>
      <c r="AP563" s="140"/>
      <c r="AQ563" s="138"/>
      <c r="AR563" s="140"/>
      <c r="AS563" s="140"/>
      <c r="AT563" s="140"/>
      <c r="AU563" s="140"/>
      <c r="AV563" s="138"/>
      <c r="AW563" s="138"/>
      <c r="AX563" s="140"/>
      <c r="AY563" s="140"/>
      <c r="AZ563" s="140"/>
      <c r="BA563" s="140"/>
      <c r="BB563" s="140"/>
      <c r="BC563" s="140"/>
    </row>
    <row r="564" ht="15.75" customHeight="1">
      <c r="C564" s="137"/>
      <c r="D564" s="138"/>
      <c r="E564" s="138"/>
      <c r="F564" s="138"/>
      <c r="J564" s="138"/>
      <c r="K564" s="138"/>
      <c r="L564" s="138"/>
      <c r="M564" s="139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32"/>
      <c r="AE564" s="140"/>
      <c r="AF564" s="140"/>
      <c r="AG564" s="140"/>
      <c r="AH564" s="140"/>
      <c r="AI564" s="140"/>
      <c r="AJ564" s="141"/>
      <c r="AK564" s="140"/>
      <c r="AL564" s="140"/>
      <c r="AM564" s="140"/>
      <c r="AN564" s="140"/>
      <c r="AO564" s="140"/>
      <c r="AP564" s="140"/>
      <c r="AQ564" s="138"/>
      <c r="AR564" s="140"/>
      <c r="AS564" s="140"/>
      <c r="AT564" s="140"/>
      <c r="AU564" s="140"/>
      <c r="AV564" s="138"/>
      <c r="AW564" s="138"/>
      <c r="AX564" s="140"/>
      <c r="AY564" s="140"/>
      <c r="AZ564" s="140"/>
      <c r="BA564" s="140"/>
      <c r="BB564" s="140"/>
      <c r="BC564" s="140"/>
    </row>
    <row r="565" ht="15.75" customHeight="1">
      <c r="C565" s="137"/>
      <c r="D565" s="138"/>
      <c r="E565" s="138"/>
      <c r="F565" s="138"/>
      <c r="J565" s="138"/>
      <c r="K565" s="138"/>
      <c r="L565" s="138"/>
      <c r="M565" s="139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32"/>
      <c r="AE565" s="140"/>
      <c r="AF565" s="140"/>
      <c r="AG565" s="140"/>
      <c r="AH565" s="140"/>
      <c r="AI565" s="140"/>
      <c r="AJ565" s="141"/>
      <c r="AK565" s="140"/>
      <c r="AL565" s="140"/>
      <c r="AM565" s="140"/>
      <c r="AN565" s="140"/>
      <c r="AO565" s="140"/>
      <c r="AP565" s="140"/>
      <c r="AQ565" s="138"/>
      <c r="AR565" s="140"/>
      <c r="AS565" s="140"/>
      <c r="AT565" s="140"/>
      <c r="AU565" s="140"/>
      <c r="AV565" s="138"/>
      <c r="AW565" s="138"/>
      <c r="AX565" s="140"/>
      <c r="AY565" s="140"/>
      <c r="AZ565" s="140"/>
      <c r="BA565" s="140"/>
      <c r="BB565" s="140"/>
      <c r="BC565" s="140"/>
    </row>
    <row r="566" ht="15.75" customHeight="1">
      <c r="C566" s="137"/>
      <c r="D566" s="138"/>
      <c r="E566" s="138"/>
      <c r="F566" s="138"/>
      <c r="J566" s="138"/>
      <c r="K566" s="138"/>
      <c r="L566" s="138"/>
      <c r="M566" s="139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32"/>
      <c r="AE566" s="140"/>
      <c r="AF566" s="140"/>
      <c r="AG566" s="140"/>
      <c r="AH566" s="140"/>
      <c r="AI566" s="140"/>
      <c r="AJ566" s="141"/>
      <c r="AK566" s="140"/>
      <c r="AL566" s="140"/>
      <c r="AM566" s="140"/>
      <c r="AN566" s="140"/>
      <c r="AO566" s="140"/>
      <c r="AP566" s="140"/>
      <c r="AQ566" s="138"/>
      <c r="AR566" s="140"/>
      <c r="AS566" s="140"/>
      <c r="AT566" s="140"/>
      <c r="AU566" s="140"/>
      <c r="AV566" s="138"/>
      <c r="AW566" s="138"/>
      <c r="AX566" s="140"/>
      <c r="AY566" s="140"/>
      <c r="AZ566" s="140"/>
      <c r="BA566" s="140"/>
      <c r="BB566" s="140"/>
      <c r="BC566" s="140"/>
    </row>
    <row r="567" ht="15.75" customHeight="1">
      <c r="C567" s="137"/>
      <c r="D567" s="138"/>
      <c r="E567" s="138"/>
      <c r="F567" s="138"/>
      <c r="J567" s="138"/>
      <c r="K567" s="138"/>
      <c r="L567" s="138"/>
      <c r="M567" s="139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32"/>
      <c r="AE567" s="140"/>
      <c r="AF567" s="140"/>
      <c r="AG567" s="140"/>
      <c r="AH567" s="140"/>
      <c r="AI567" s="140"/>
      <c r="AJ567" s="141"/>
      <c r="AK567" s="140"/>
      <c r="AL567" s="140"/>
      <c r="AM567" s="140"/>
      <c r="AN567" s="140"/>
      <c r="AO567" s="140"/>
      <c r="AP567" s="140"/>
      <c r="AQ567" s="138"/>
      <c r="AR567" s="140"/>
      <c r="AS567" s="140"/>
      <c r="AT567" s="140"/>
      <c r="AU567" s="140"/>
      <c r="AV567" s="138"/>
      <c r="AW567" s="138"/>
      <c r="AX567" s="140"/>
      <c r="AY567" s="140"/>
      <c r="AZ567" s="140"/>
      <c r="BA567" s="140"/>
      <c r="BB567" s="140"/>
      <c r="BC567" s="140"/>
    </row>
    <row r="568" ht="15.75" customHeight="1">
      <c r="C568" s="137"/>
      <c r="D568" s="138"/>
      <c r="E568" s="138"/>
      <c r="F568" s="138"/>
      <c r="J568" s="138"/>
      <c r="K568" s="138"/>
      <c r="L568" s="138"/>
      <c r="M568" s="139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32"/>
      <c r="AE568" s="140"/>
      <c r="AF568" s="140"/>
      <c r="AG568" s="140"/>
      <c r="AH568" s="140"/>
      <c r="AI568" s="140"/>
      <c r="AJ568" s="141"/>
      <c r="AK568" s="140"/>
      <c r="AL568" s="140"/>
      <c r="AM568" s="140"/>
      <c r="AN568" s="140"/>
      <c r="AO568" s="140"/>
      <c r="AP568" s="140"/>
      <c r="AQ568" s="138"/>
      <c r="AR568" s="140"/>
      <c r="AS568" s="140"/>
      <c r="AT568" s="140"/>
      <c r="AU568" s="140"/>
      <c r="AV568" s="138"/>
      <c r="AW568" s="138"/>
      <c r="AX568" s="140"/>
      <c r="AY568" s="140"/>
      <c r="AZ568" s="140"/>
      <c r="BA568" s="140"/>
      <c r="BB568" s="140"/>
      <c r="BC568" s="140"/>
    </row>
    <row r="569" ht="15.75" customHeight="1">
      <c r="C569" s="137"/>
      <c r="D569" s="138"/>
      <c r="E569" s="138"/>
      <c r="F569" s="138"/>
      <c r="J569" s="138"/>
      <c r="K569" s="138"/>
      <c r="L569" s="138"/>
      <c r="M569" s="139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32"/>
      <c r="AE569" s="140"/>
      <c r="AF569" s="140"/>
      <c r="AG569" s="140"/>
      <c r="AH569" s="140"/>
      <c r="AI569" s="140"/>
      <c r="AJ569" s="141"/>
      <c r="AK569" s="140"/>
      <c r="AL569" s="140"/>
      <c r="AM569" s="140"/>
      <c r="AN569" s="140"/>
      <c r="AO569" s="140"/>
      <c r="AP569" s="140"/>
      <c r="AQ569" s="138"/>
      <c r="AR569" s="140"/>
      <c r="AS569" s="140"/>
      <c r="AT569" s="140"/>
      <c r="AU569" s="140"/>
      <c r="AV569" s="138"/>
      <c r="AW569" s="138"/>
      <c r="AX569" s="140"/>
      <c r="AY569" s="140"/>
      <c r="AZ569" s="140"/>
      <c r="BA569" s="140"/>
      <c r="BB569" s="140"/>
      <c r="BC569" s="140"/>
    </row>
    <row r="570" ht="15.75" customHeight="1">
      <c r="C570" s="137"/>
      <c r="D570" s="138"/>
      <c r="E570" s="138"/>
      <c r="F570" s="138"/>
      <c r="J570" s="138"/>
      <c r="K570" s="138"/>
      <c r="L570" s="138"/>
      <c r="M570" s="139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32"/>
      <c r="AE570" s="140"/>
      <c r="AF570" s="140"/>
      <c r="AG570" s="140"/>
      <c r="AH570" s="140"/>
      <c r="AI570" s="140"/>
      <c r="AJ570" s="141"/>
      <c r="AK570" s="140"/>
      <c r="AL570" s="140"/>
      <c r="AM570" s="140"/>
      <c r="AN570" s="140"/>
      <c r="AO570" s="140"/>
      <c r="AP570" s="140"/>
      <c r="AQ570" s="138"/>
      <c r="AR570" s="140"/>
      <c r="AS570" s="140"/>
      <c r="AT570" s="140"/>
      <c r="AU570" s="140"/>
      <c r="AV570" s="138"/>
      <c r="AW570" s="138"/>
      <c r="AX570" s="140"/>
      <c r="AY570" s="140"/>
      <c r="AZ570" s="140"/>
      <c r="BA570" s="140"/>
      <c r="BB570" s="140"/>
      <c r="BC570" s="140"/>
    </row>
    <row r="571" ht="15.75" customHeight="1">
      <c r="C571" s="137"/>
      <c r="D571" s="138"/>
      <c r="E571" s="138"/>
      <c r="F571" s="138"/>
      <c r="J571" s="138"/>
      <c r="K571" s="138"/>
      <c r="L571" s="138"/>
      <c r="M571" s="139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32"/>
      <c r="AE571" s="140"/>
      <c r="AF571" s="140"/>
      <c r="AG571" s="140"/>
      <c r="AH571" s="140"/>
      <c r="AI571" s="140"/>
      <c r="AJ571" s="141"/>
      <c r="AK571" s="140"/>
      <c r="AL571" s="140"/>
      <c r="AM571" s="140"/>
      <c r="AN571" s="140"/>
      <c r="AO571" s="140"/>
      <c r="AP571" s="140"/>
      <c r="AQ571" s="138"/>
      <c r="AR571" s="140"/>
      <c r="AS571" s="140"/>
      <c r="AT571" s="140"/>
      <c r="AU571" s="140"/>
      <c r="AV571" s="138"/>
      <c r="AW571" s="138"/>
      <c r="AX571" s="140"/>
      <c r="AY571" s="140"/>
      <c r="AZ571" s="140"/>
      <c r="BA571" s="140"/>
      <c r="BB571" s="140"/>
      <c r="BC571" s="140"/>
    </row>
    <row r="572" ht="15.75" customHeight="1">
      <c r="C572" s="137"/>
      <c r="D572" s="138"/>
      <c r="E572" s="138"/>
      <c r="F572" s="138"/>
      <c r="J572" s="138"/>
      <c r="K572" s="138"/>
      <c r="L572" s="138"/>
      <c r="M572" s="139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32"/>
      <c r="AE572" s="140"/>
      <c r="AF572" s="140"/>
      <c r="AG572" s="140"/>
      <c r="AH572" s="140"/>
      <c r="AI572" s="140"/>
      <c r="AJ572" s="141"/>
      <c r="AK572" s="140"/>
      <c r="AL572" s="140"/>
      <c r="AM572" s="140"/>
      <c r="AN572" s="140"/>
      <c r="AO572" s="140"/>
      <c r="AP572" s="140"/>
      <c r="AQ572" s="138"/>
      <c r="AR572" s="140"/>
      <c r="AS572" s="140"/>
      <c r="AT572" s="140"/>
      <c r="AU572" s="140"/>
      <c r="AV572" s="138"/>
      <c r="AW572" s="138"/>
      <c r="AX572" s="140"/>
      <c r="AY572" s="140"/>
      <c r="AZ572" s="140"/>
      <c r="BA572" s="140"/>
      <c r="BB572" s="140"/>
      <c r="BC572" s="140"/>
    </row>
    <row r="573" ht="15.75" customHeight="1">
      <c r="C573" s="137"/>
      <c r="D573" s="138"/>
      <c r="E573" s="138"/>
      <c r="F573" s="138"/>
      <c r="J573" s="138"/>
      <c r="K573" s="138"/>
      <c r="L573" s="138"/>
      <c r="M573" s="139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32"/>
      <c r="AE573" s="140"/>
      <c r="AF573" s="140"/>
      <c r="AG573" s="140"/>
      <c r="AH573" s="140"/>
      <c r="AI573" s="140"/>
      <c r="AJ573" s="141"/>
      <c r="AK573" s="140"/>
      <c r="AL573" s="140"/>
      <c r="AM573" s="140"/>
      <c r="AN573" s="140"/>
      <c r="AO573" s="140"/>
      <c r="AP573" s="140"/>
      <c r="AQ573" s="138"/>
      <c r="AR573" s="140"/>
      <c r="AS573" s="140"/>
      <c r="AT573" s="140"/>
      <c r="AU573" s="140"/>
      <c r="AV573" s="138"/>
      <c r="AW573" s="138"/>
      <c r="AX573" s="140"/>
      <c r="AY573" s="140"/>
      <c r="AZ573" s="140"/>
      <c r="BA573" s="140"/>
      <c r="BB573" s="140"/>
      <c r="BC573" s="140"/>
    </row>
    <row r="574" ht="15.75" customHeight="1">
      <c r="C574" s="137"/>
      <c r="D574" s="138"/>
      <c r="E574" s="138"/>
      <c r="F574" s="138"/>
      <c r="J574" s="138"/>
      <c r="K574" s="138"/>
      <c r="L574" s="138"/>
      <c r="M574" s="139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32"/>
      <c r="AE574" s="140"/>
      <c r="AF574" s="140"/>
      <c r="AG574" s="140"/>
      <c r="AH574" s="140"/>
      <c r="AI574" s="140"/>
      <c r="AJ574" s="141"/>
      <c r="AK574" s="140"/>
      <c r="AL574" s="140"/>
      <c r="AM574" s="140"/>
      <c r="AN574" s="140"/>
      <c r="AO574" s="140"/>
      <c r="AP574" s="140"/>
      <c r="AQ574" s="138"/>
      <c r="AR574" s="140"/>
      <c r="AS574" s="140"/>
      <c r="AT574" s="140"/>
      <c r="AU574" s="140"/>
      <c r="AV574" s="138"/>
      <c r="AW574" s="138"/>
      <c r="AX574" s="140"/>
      <c r="AY574" s="140"/>
      <c r="AZ574" s="140"/>
      <c r="BA574" s="140"/>
      <c r="BB574" s="140"/>
      <c r="BC574" s="140"/>
    </row>
    <row r="575" ht="15.75" customHeight="1">
      <c r="C575" s="137"/>
      <c r="D575" s="138"/>
      <c r="E575" s="138"/>
      <c r="F575" s="138"/>
      <c r="J575" s="138"/>
      <c r="K575" s="138"/>
      <c r="L575" s="138"/>
      <c r="M575" s="139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32"/>
      <c r="AE575" s="140"/>
      <c r="AF575" s="140"/>
      <c r="AG575" s="140"/>
      <c r="AH575" s="140"/>
      <c r="AI575" s="140"/>
      <c r="AJ575" s="141"/>
      <c r="AK575" s="140"/>
      <c r="AL575" s="140"/>
      <c r="AM575" s="140"/>
      <c r="AN575" s="140"/>
      <c r="AO575" s="140"/>
      <c r="AP575" s="140"/>
      <c r="AQ575" s="138"/>
      <c r="AR575" s="140"/>
      <c r="AS575" s="140"/>
      <c r="AT575" s="140"/>
      <c r="AU575" s="140"/>
      <c r="AV575" s="138"/>
      <c r="AW575" s="138"/>
      <c r="AX575" s="140"/>
      <c r="AY575" s="140"/>
      <c r="AZ575" s="140"/>
      <c r="BA575" s="140"/>
      <c r="BB575" s="140"/>
      <c r="BC575" s="140"/>
    </row>
    <row r="576" ht="15.75" customHeight="1">
      <c r="C576" s="137"/>
      <c r="D576" s="138"/>
      <c r="E576" s="138"/>
      <c r="F576" s="138"/>
      <c r="J576" s="138"/>
      <c r="K576" s="138"/>
      <c r="L576" s="138"/>
      <c r="M576" s="139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32"/>
      <c r="AE576" s="140"/>
      <c r="AF576" s="140"/>
      <c r="AG576" s="140"/>
      <c r="AH576" s="140"/>
      <c r="AI576" s="140"/>
      <c r="AJ576" s="141"/>
      <c r="AK576" s="140"/>
      <c r="AL576" s="140"/>
      <c r="AM576" s="140"/>
      <c r="AN576" s="140"/>
      <c r="AO576" s="140"/>
      <c r="AP576" s="140"/>
      <c r="AQ576" s="138"/>
      <c r="AR576" s="140"/>
      <c r="AS576" s="140"/>
      <c r="AT576" s="140"/>
      <c r="AU576" s="140"/>
      <c r="AV576" s="138"/>
      <c r="AW576" s="138"/>
      <c r="AX576" s="140"/>
      <c r="AY576" s="140"/>
      <c r="AZ576" s="140"/>
      <c r="BA576" s="140"/>
      <c r="BB576" s="140"/>
      <c r="BC576" s="140"/>
    </row>
    <row r="577" ht="15.75" customHeight="1">
      <c r="C577" s="137"/>
      <c r="D577" s="138"/>
      <c r="E577" s="138"/>
      <c r="F577" s="138"/>
      <c r="J577" s="138"/>
      <c r="K577" s="138"/>
      <c r="L577" s="138"/>
      <c r="M577" s="139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32"/>
      <c r="AE577" s="140"/>
      <c r="AF577" s="140"/>
      <c r="AG577" s="140"/>
      <c r="AH577" s="140"/>
      <c r="AI577" s="140"/>
      <c r="AJ577" s="141"/>
      <c r="AK577" s="140"/>
      <c r="AL577" s="140"/>
      <c r="AM577" s="140"/>
      <c r="AN577" s="140"/>
      <c r="AO577" s="140"/>
      <c r="AP577" s="140"/>
      <c r="AQ577" s="138"/>
      <c r="AR577" s="140"/>
      <c r="AS577" s="140"/>
      <c r="AT577" s="140"/>
      <c r="AU577" s="140"/>
      <c r="AV577" s="138"/>
      <c r="AW577" s="138"/>
      <c r="AX577" s="140"/>
      <c r="AY577" s="140"/>
      <c r="AZ577" s="140"/>
      <c r="BA577" s="140"/>
      <c r="BB577" s="140"/>
      <c r="BC577" s="140"/>
    </row>
    <row r="578" ht="15.75" customHeight="1">
      <c r="C578" s="137"/>
      <c r="D578" s="138"/>
      <c r="E578" s="138"/>
      <c r="F578" s="138"/>
      <c r="J578" s="138"/>
      <c r="K578" s="138"/>
      <c r="L578" s="138"/>
      <c r="M578" s="139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32"/>
      <c r="AE578" s="140"/>
      <c r="AF578" s="140"/>
      <c r="AG578" s="140"/>
      <c r="AH578" s="140"/>
      <c r="AI578" s="140"/>
      <c r="AJ578" s="141"/>
      <c r="AK578" s="140"/>
      <c r="AL578" s="140"/>
      <c r="AM578" s="140"/>
      <c r="AN578" s="140"/>
      <c r="AO578" s="140"/>
      <c r="AP578" s="140"/>
      <c r="AQ578" s="138"/>
      <c r="AR578" s="140"/>
      <c r="AS578" s="140"/>
      <c r="AT578" s="140"/>
      <c r="AU578" s="140"/>
      <c r="AV578" s="138"/>
      <c r="AW578" s="138"/>
      <c r="AX578" s="140"/>
      <c r="AY578" s="140"/>
      <c r="AZ578" s="140"/>
      <c r="BA578" s="140"/>
      <c r="BB578" s="140"/>
      <c r="BC578" s="140"/>
    </row>
    <row r="579" ht="15.75" customHeight="1">
      <c r="C579" s="137"/>
      <c r="D579" s="138"/>
      <c r="E579" s="138"/>
      <c r="F579" s="138"/>
      <c r="J579" s="138"/>
      <c r="K579" s="138"/>
      <c r="L579" s="138"/>
      <c r="M579" s="139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32"/>
      <c r="AE579" s="140"/>
      <c r="AF579" s="140"/>
      <c r="AG579" s="140"/>
      <c r="AH579" s="140"/>
      <c r="AI579" s="140"/>
      <c r="AJ579" s="141"/>
      <c r="AK579" s="140"/>
      <c r="AL579" s="140"/>
      <c r="AM579" s="140"/>
      <c r="AN579" s="140"/>
      <c r="AO579" s="140"/>
      <c r="AP579" s="140"/>
      <c r="AQ579" s="138"/>
      <c r="AR579" s="140"/>
      <c r="AS579" s="140"/>
      <c r="AT579" s="140"/>
      <c r="AU579" s="140"/>
      <c r="AV579" s="138"/>
      <c r="AW579" s="138"/>
      <c r="AX579" s="140"/>
      <c r="AY579" s="140"/>
      <c r="AZ579" s="140"/>
      <c r="BA579" s="140"/>
      <c r="BB579" s="140"/>
      <c r="BC579" s="140"/>
    </row>
    <row r="580" ht="15.75" customHeight="1">
      <c r="C580" s="137"/>
      <c r="D580" s="138"/>
      <c r="E580" s="138"/>
      <c r="F580" s="138"/>
      <c r="J580" s="138"/>
      <c r="K580" s="138"/>
      <c r="L580" s="138"/>
      <c r="M580" s="139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32"/>
      <c r="AE580" s="140"/>
      <c r="AF580" s="140"/>
      <c r="AG580" s="140"/>
      <c r="AH580" s="140"/>
      <c r="AI580" s="140"/>
      <c r="AJ580" s="141"/>
      <c r="AK580" s="140"/>
      <c r="AL580" s="140"/>
      <c r="AM580" s="140"/>
      <c r="AN580" s="140"/>
      <c r="AO580" s="140"/>
      <c r="AP580" s="140"/>
      <c r="AQ580" s="138"/>
      <c r="AR580" s="140"/>
      <c r="AS580" s="140"/>
      <c r="AT580" s="140"/>
      <c r="AU580" s="140"/>
      <c r="AV580" s="138"/>
      <c r="AW580" s="138"/>
      <c r="AX580" s="140"/>
      <c r="AY580" s="140"/>
      <c r="AZ580" s="140"/>
      <c r="BA580" s="140"/>
      <c r="BB580" s="140"/>
      <c r="BC580" s="140"/>
    </row>
    <row r="581" ht="15.75" customHeight="1">
      <c r="C581" s="137"/>
      <c r="D581" s="138"/>
      <c r="E581" s="138"/>
      <c r="F581" s="138"/>
      <c r="J581" s="138"/>
      <c r="K581" s="138"/>
      <c r="L581" s="138"/>
      <c r="M581" s="139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32"/>
      <c r="AE581" s="140"/>
      <c r="AF581" s="140"/>
      <c r="AG581" s="140"/>
      <c r="AH581" s="140"/>
      <c r="AI581" s="140"/>
      <c r="AJ581" s="141"/>
      <c r="AK581" s="140"/>
      <c r="AL581" s="140"/>
      <c r="AM581" s="140"/>
      <c r="AN581" s="140"/>
      <c r="AO581" s="140"/>
      <c r="AP581" s="140"/>
      <c r="AQ581" s="138"/>
      <c r="AR581" s="140"/>
      <c r="AS581" s="140"/>
      <c r="AT581" s="140"/>
      <c r="AU581" s="140"/>
      <c r="AV581" s="138"/>
      <c r="AW581" s="138"/>
      <c r="AX581" s="140"/>
      <c r="AY581" s="140"/>
      <c r="AZ581" s="140"/>
      <c r="BA581" s="140"/>
      <c r="BB581" s="140"/>
      <c r="BC581" s="140"/>
    </row>
    <row r="582" ht="15.75" customHeight="1">
      <c r="C582" s="137"/>
      <c r="D582" s="138"/>
      <c r="E582" s="138"/>
      <c r="F582" s="138"/>
      <c r="J582" s="138"/>
      <c r="K582" s="138"/>
      <c r="L582" s="138"/>
      <c r="M582" s="139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32"/>
      <c r="AE582" s="140"/>
      <c r="AF582" s="140"/>
      <c r="AG582" s="140"/>
      <c r="AH582" s="140"/>
      <c r="AI582" s="140"/>
      <c r="AJ582" s="141"/>
      <c r="AK582" s="140"/>
      <c r="AL582" s="140"/>
      <c r="AM582" s="140"/>
      <c r="AN582" s="140"/>
      <c r="AO582" s="140"/>
      <c r="AP582" s="140"/>
      <c r="AQ582" s="138"/>
      <c r="AR582" s="140"/>
      <c r="AS582" s="140"/>
      <c r="AT582" s="140"/>
      <c r="AU582" s="140"/>
      <c r="AV582" s="138"/>
      <c r="AW582" s="138"/>
      <c r="AX582" s="140"/>
      <c r="AY582" s="140"/>
      <c r="AZ582" s="140"/>
      <c r="BA582" s="140"/>
      <c r="BB582" s="140"/>
      <c r="BC582" s="140"/>
    </row>
    <row r="583" ht="15.75" customHeight="1">
      <c r="C583" s="137"/>
      <c r="D583" s="138"/>
      <c r="E583" s="138"/>
      <c r="F583" s="138"/>
      <c r="J583" s="138"/>
      <c r="K583" s="138"/>
      <c r="L583" s="138"/>
      <c r="M583" s="139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32"/>
      <c r="AE583" s="140"/>
      <c r="AF583" s="140"/>
      <c r="AG583" s="140"/>
      <c r="AH583" s="140"/>
      <c r="AI583" s="140"/>
      <c r="AJ583" s="141"/>
      <c r="AK583" s="140"/>
      <c r="AL583" s="140"/>
      <c r="AM583" s="140"/>
      <c r="AN583" s="140"/>
      <c r="AO583" s="140"/>
      <c r="AP583" s="140"/>
      <c r="AQ583" s="138"/>
      <c r="AR583" s="140"/>
      <c r="AS583" s="140"/>
      <c r="AT583" s="140"/>
      <c r="AU583" s="140"/>
      <c r="AV583" s="138"/>
      <c r="AW583" s="138"/>
      <c r="AX583" s="140"/>
      <c r="AY583" s="140"/>
      <c r="AZ583" s="140"/>
      <c r="BA583" s="140"/>
      <c r="BB583" s="140"/>
      <c r="BC583" s="140"/>
    </row>
    <row r="584" ht="15.75" customHeight="1">
      <c r="C584" s="137"/>
      <c r="D584" s="138"/>
      <c r="E584" s="138"/>
      <c r="F584" s="138"/>
      <c r="J584" s="138"/>
      <c r="K584" s="138"/>
      <c r="L584" s="138"/>
      <c r="M584" s="139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32"/>
      <c r="AE584" s="140"/>
      <c r="AF584" s="140"/>
      <c r="AG584" s="140"/>
      <c r="AH584" s="140"/>
      <c r="AI584" s="140"/>
      <c r="AJ584" s="141"/>
      <c r="AK584" s="140"/>
      <c r="AL584" s="140"/>
      <c r="AM584" s="140"/>
      <c r="AN584" s="140"/>
      <c r="AO584" s="140"/>
      <c r="AP584" s="140"/>
      <c r="AQ584" s="138"/>
      <c r="AR584" s="140"/>
      <c r="AS584" s="140"/>
      <c r="AT584" s="140"/>
      <c r="AU584" s="140"/>
      <c r="AV584" s="138"/>
      <c r="AW584" s="138"/>
      <c r="AX584" s="140"/>
      <c r="AY584" s="140"/>
      <c r="AZ584" s="140"/>
      <c r="BA584" s="140"/>
      <c r="BB584" s="140"/>
      <c r="BC584" s="140"/>
    </row>
    <row r="585" ht="15.75" customHeight="1">
      <c r="C585" s="137"/>
      <c r="D585" s="138"/>
      <c r="E585" s="138"/>
      <c r="F585" s="138"/>
      <c r="J585" s="138"/>
      <c r="K585" s="138"/>
      <c r="L585" s="138"/>
      <c r="M585" s="139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32"/>
      <c r="AE585" s="140"/>
      <c r="AF585" s="140"/>
      <c r="AG585" s="140"/>
      <c r="AH585" s="140"/>
      <c r="AI585" s="140"/>
      <c r="AJ585" s="141"/>
      <c r="AK585" s="140"/>
      <c r="AL585" s="140"/>
      <c r="AM585" s="140"/>
      <c r="AN585" s="140"/>
      <c r="AO585" s="140"/>
      <c r="AP585" s="140"/>
      <c r="AQ585" s="138"/>
      <c r="AR585" s="140"/>
      <c r="AS585" s="140"/>
      <c r="AT585" s="140"/>
      <c r="AU585" s="140"/>
      <c r="AV585" s="138"/>
      <c r="AW585" s="138"/>
      <c r="AX585" s="140"/>
      <c r="AY585" s="140"/>
      <c r="AZ585" s="140"/>
      <c r="BA585" s="140"/>
      <c r="BB585" s="140"/>
      <c r="BC585" s="140"/>
    </row>
    <row r="586" ht="15.75" customHeight="1">
      <c r="C586" s="137"/>
      <c r="D586" s="138"/>
      <c r="E586" s="138"/>
      <c r="F586" s="138"/>
      <c r="J586" s="138"/>
      <c r="K586" s="138"/>
      <c r="L586" s="138"/>
      <c r="M586" s="139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32"/>
      <c r="AE586" s="140"/>
      <c r="AF586" s="140"/>
      <c r="AG586" s="140"/>
      <c r="AH586" s="140"/>
      <c r="AI586" s="140"/>
      <c r="AJ586" s="141"/>
      <c r="AK586" s="140"/>
      <c r="AL586" s="140"/>
      <c r="AM586" s="140"/>
      <c r="AN586" s="140"/>
      <c r="AO586" s="140"/>
      <c r="AP586" s="140"/>
      <c r="AQ586" s="138"/>
      <c r="AR586" s="140"/>
      <c r="AS586" s="140"/>
      <c r="AT586" s="140"/>
      <c r="AU586" s="140"/>
      <c r="AV586" s="138"/>
      <c r="AW586" s="138"/>
      <c r="AX586" s="140"/>
      <c r="AY586" s="140"/>
      <c r="AZ586" s="140"/>
      <c r="BA586" s="140"/>
      <c r="BB586" s="140"/>
      <c r="BC586" s="140"/>
    </row>
    <row r="587" ht="15.75" customHeight="1">
      <c r="C587" s="137"/>
      <c r="D587" s="138"/>
      <c r="E587" s="138"/>
      <c r="F587" s="138"/>
      <c r="J587" s="138"/>
      <c r="K587" s="138"/>
      <c r="L587" s="138"/>
      <c r="M587" s="139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32"/>
      <c r="AE587" s="140"/>
      <c r="AF587" s="140"/>
      <c r="AG587" s="140"/>
      <c r="AH587" s="140"/>
      <c r="AI587" s="140"/>
      <c r="AJ587" s="141"/>
      <c r="AK587" s="140"/>
      <c r="AL587" s="140"/>
      <c r="AM587" s="140"/>
      <c r="AN587" s="140"/>
      <c r="AO587" s="140"/>
      <c r="AP587" s="140"/>
      <c r="AQ587" s="138"/>
      <c r="AR587" s="140"/>
      <c r="AS587" s="140"/>
      <c r="AT587" s="140"/>
      <c r="AU587" s="140"/>
      <c r="AV587" s="138"/>
      <c r="AW587" s="138"/>
      <c r="AX587" s="140"/>
      <c r="AY587" s="140"/>
      <c r="AZ587" s="140"/>
      <c r="BA587" s="140"/>
      <c r="BB587" s="140"/>
      <c r="BC587" s="140"/>
    </row>
    <row r="588" ht="15.75" customHeight="1">
      <c r="C588" s="137"/>
      <c r="D588" s="138"/>
      <c r="E588" s="138"/>
      <c r="F588" s="138"/>
      <c r="J588" s="138"/>
      <c r="K588" s="138"/>
      <c r="L588" s="138"/>
      <c r="M588" s="139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32"/>
      <c r="AE588" s="140"/>
      <c r="AF588" s="140"/>
      <c r="AG588" s="140"/>
      <c r="AH588" s="140"/>
      <c r="AI588" s="140"/>
      <c r="AJ588" s="141"/>
      <c r="AK588" s="140"/>
      <c r="AL588" s="140"/>
      <c r="AM588" s="140"/>
      <c r="AN588" s="140"/>
      <c r="AO588" s="140"/>
      <c r="AP588" s="140"/>
      <c r="AQ588" s="138"/>
      <c r="AR588" s="140"/>
      <c r="AS588" s="140"/>
      <c r="AT588" s="140"/>
      <c r="AU588" s="140"/>
      <c r="AV588" s="138"/>
      <c r="AW588" s="138"/>
      <c r="AX588" s="140"/>
      <c r="AY588" s="140"/>
      <c r="AZ588" s="140"/>
      <c r="BA588" s="140"/>
      <c r="BB588" s="140"/>
      <c r="BC588" s="140"/>
    </row>
    <row r="589" ht="15.75" customHeight="1">
      <c r="C589" s="137"/>
      <c r="D589" s="138"/>
      <c r="E589" s="138"/>
      <c r="F589" s="138"/>
      <c r="J589" s="138"/>
      <c r="K589" s="138"/>
      <c r="L589" s="138"/>
      <c r="M589" s="139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32"/>
      <c r="AE589" s="140"/>
      <c r="AF589" s="140"/>
      <c r="AG589" s="140"/>
      <c r="AH589" s="140"/>
      <c r="AI589" s="140"/>
      <c r="AJ589" s="141"/>
      <c r="AK589" s="140"/>
      <c r="AL589" s="140"/>
      <c r="AM589" s="140"/>
      <c r="AN589" s="140"/>
      <c r="AO589" s="140"/>
      <c r="AP589" s="140"/>
      <c r="AQ589" s="138"/>
      <c r="AR589" s="140"/>
      <c r="AS589" s="140"/>
      <c r="AT589" s="140"/>
      <c r="AU589" s="140"/>
      <c r="AV589" s="138"/>
      <c r="AW589" s="138"/>
      <c r="AX589" s="140"/>
      <c r="AY589" s="140"/>
      <c r="AZ589" s="140"/>
      <c r="BA589" s="140"/>
      <c r="BB589" s="140"/>
      <c r="BC589" s="140"/>
    </row>
    <row r="590" ht="15.75" customHeight="1">
      <c r="C590" s="137"/>
      <c r="D590" s="138"/>
      <c r="E590" s="138"/>
      <c r="F590" s="138"/>
      <c r="J590" s="138"/>
      <c r="K590" s="138"/>
      <c r="L590" s="138"/>
      <c r="M590" s="139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32"/>
      <c r="AE590" s="140"/>
      <c r="AF590" s="140"/>
      <c r="AG590" s="140"/>
      <c r="AH590" s="140"/>
      <c r="AI590" s="140"/>
      <c r="AJ590" s="141"/>
      <c r="AK590" s="140"/>
      <c r="AL590" s="140"/>
      <c r="AM590" s="140"/>
      <c r="AN590" s="140"/>
      <c r="AO590" s="140"/>
      <c r="AP590" s="140"/>
      <c r="AQ590" s="138"/>
      <c r="AR590" s="140"/>
      <c r="AS590" s="140"/>
      <c r="AT590" s="140"/>
      <c r="AU590" s="140"/>
      <c r="AV590" s="138"/>
      <c r="AW590" s="138"/>
      <c r="AX590" s="140"/>
      <c r="AY590" s="140"/>
      <c r="AZ590" s="140"/>
      <c r="BA590" s="140"/>
      <c r="BB590" s="140"/>
      <c r="BC590" s="140"/>
    </row>
    <row r="591" ht="15.75" customHeight="1">
      <c r="C591" s="137"/>
      <c r="D591" s="138"/>
      <c r="E591" s="138"/>
      <c r="F591" s="138"/>
      <c r="J591" s="138"/>
      <c r="K591" s="138"/>
      <c r="L591" s="138"/>
      <c r="M591" s="139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32"/>
      <c r="AE591" s="140"/>
      <c r="AF591" s="140"/>
      <c r="AG591" s="140"/>
      <c r="AH591" s="140"/>
      <c r="AI591" s="140"/>
      <c r="AJ591" s="141"/>
      <c r="AK591" s="140"/>
      <c r="AL591" s="140"/>
      <c r="AM591" s="140"/>
      <c r="AN591" s="140"/>
      <c r="AO591" s="140"/>
      <c r="AP591" s="140"/>
      <c r="AQ591" s="138"/>
      <c r="AR591" s="140"/>
      <c r="AS591" s="140"/>
      <c r="AT591" s="140"/>
      <c r="AU591" s="140"/>
      <c r="AV591" s="138"/>
      <c r="AW591" s="138"/>
      <c r="AX591" s="140"/>
      <c r="AY591" s="140"/>
      <c r="AZ591" s="140"/>
      <c r="BA591" s="140"/>
      <c r="BB591" s="140"/>
      <c r="BC591" s="140"/>
    </row>
    <row r="592" ht="15.75" customHeight="1">
      <c r="C592" s="137"/>
      <c r="D592" s="138"/>
      <c r="E592" s="138"/>
      <c r="F592" s="138"/>
      <c r="J592" s="138"/>
      <c r="K592" s="138"/>
      <c r="L592" s="138"/>
      <c r="M592" s="139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32"/>
      <c r="AE592" s="140"/>
      <c r="AF592" s="140"/>
      <c r="AG592" s="140"/>
      <c r="AH592" s="140"/>
      <c r="AI592" s="140"/>
      <c r="AJ592" s="141"/>
      <c r="AK592" s="140"/>
      <c r="AL592" s="140"/>
      <c r="AM592" s="140"/>
      <c r="AN592" s="140"/>
      <c r="AO592" s="140"/>
      <c r="AP592" s="140"/>
      <c r="AQ592" s="138"/>
      <c r="AR592" s="140"/>
      <c r="AS592" s="140"/>
      <c r="AT592" s="140"/>
      <c r="AU592" s="140"/>
      <c r="AV592" s="138"/>
      <c r="AW592" s="138"/>
      <c r="AX592" s="140"/>
      <c r="AY592" s="140"/>
      <c r="AZ592" s="140"/>
      <c r="BA592" s="140"/>
      <c r="BB592" s="140"/>
      <c r="BC592" s="140"/>
    </row>
    <row r="593" ht="15.75" customHeight="1">
      <c r="C593" s="137"/>
      <c r="D593" s="138"/>
      <c r="E593" s="138"/>
      <c r="F593" s="138"/>
      <c r="J593" s="138"/>
      <c r="K593" s="138"/>
      <c r="L593" s="138"/>
      <c r="M593" s="139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32"/>
      <c r="AE593" s="140"/>
      <c r="AF593" s="140"/>
      <c r="AG593" s="140"/>
      <c r="AH593" s="140"/>
      <c r="AI593" s="140"/>
      <c r="AJ593" s="141"/>
      <c r="AK593" s="140"/>
      <c r="AL593" s="140"/>
      <c r="AM593" s="140"/>
      <c r="AN593" s="140"/>
      <c r="AO593" s="140"/>
      <c r="AP593" s="140"/>
      <c r="AQ593" s="138"/>
      <c r="AR593" s="140"/>
      <c r="AS593" s="140"/>
      <c r="AT593" s="140"/>
      <c r="AU593" s="140"/>
      <c r="AV593" s="138"/>
      <c r="AW593" s="138"/>
      <c r="AX593" s="140"/>
      <c r="AY593" s="140"/>
      <c r="AZ593" s="140"/>
      <c r="BA593" s="140"/>
      <c r="BB593" s="140"/>
      <c r="BC593" s="140"/>
    </row>
    <row r="594" ht="15.75" customHeight="1">
      <c r="C594" s="137"/>
      <c r="D594" s="138"/>
      <c r="E594" s="138"/>
      <c r="F594" s="138"/>
      <c r="J594" s="138"/>
      <c r="K594" s="138"/>
      <c r="L594" s="138"/>
      <c r="M594" s="139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32"/>
      <c r="AE594" s="140"/>
      <c r="AF594" s="140"/>
      <c r="AG594" s="140"/>
      <c r="AH594" s="140"/>
      <c r="AI594" s="140"/>
      <c r="AJ594" s="141"/>
      <c r="AK594" s="140"/>
      <c r="AL594" s="140"/>
      <c r="AM594" s="140"/>
      <c r="AN594" s="140"/>
      <c r="AO594" s="140"/>
      <c r="AP594" s="140"/>
      <c r="AQ594" s="138"/>
      <c r="AR594" s="140"/>
      <c r="AS594" s="140"/>
      <c r="AT594" s="140"/>
      <c r="AU594" s="140"/>
      <c r="AV594" s="138"/>
      <c r="AW594" s="138"/>
      <c r="AX594" s="140"/>
      <c r="AY594" s="140"/>
      <c r="AZ594" s="140"/>
      <c r="BA594" s="140"/>
      <c r="BB594" s="140"/>
      <c r="BC594" s="140"/>
    </row>
    <row r="595" ht="15.75" customHeight="1">
      <c r="C595" s="137"/>
      <c r="D595" s="138"/>
      <c r="E595" s="138"/>
      <c r="F595" s="138"/>
      <c r="J595" s="138"/>
      <c r="K595" s="138"/>
      <c r="L595" s="138"/>
      <c r="M595" s="139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32"/>
      <c r="AE595" s="140"/>
      <c r="AF595" s="140"/>
      <c r="AG595" s="140"/>
      <c r="AH595" s="140"/>
      <c r="AI595" s="140"/>
      <c r="AJ595" s="141"/>
      <c r="AK595" s="140"/>
      <c r="AL595" s="140"/>
      <c r="AM595" s="140"/>
      <c r="AN595" s="140"/>
      <c r="AO595" s="140"/>
      <c r="AP595" s="140"/>
      <c r="AQ595" s="138"/>
      <c r="AR595" s="140"/>
      <c r="AS595" s="140"/>
      <c r="AT595" s="140"/>
      <c r="AU595" s="140"/>
      <c r="AV595" s="138"/>
      <c r="AW595" s="138"/>
      <c r="AX595" s="140"/>
      <c r="AY595" s="140"/>
      <c r="AZ595" s="140"/>
      <c r="BA595" s="140"/>
      <c r="BB595" s="140"/>
      <c r="BC595" s="140"/>
    </row>
    <row r="596" ht="15.75" customHeight="1">
      <c r="C596" s="137"/>
      <c r="D596" s="138"/>
      <c r="E596" s="138"/>
      <c r="F596" s="138"/>
      <c r="J596" s="138"/>
      <c r="K596" s="138"/>
      <c r="L596" s="138"/>
      <c r="M596" s="139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32"/>
      <c r="AE596" s="140"/>
      <c r="AF596" s="140"/>
      <c r="AG596" s="140"/>
      <c r="AH596" s="140"/>
      <c r="AI596" s="140"/>
      <c r="AJ596" s="141"/>
      <c r="AK596" s="140"/>
      <c r="AL596" s="140"/>
      <c r="AM596" s="140"/>
      <c r="AN596" s="140"/>
      <c r="AO596" s="140"/>
      <c r="AP596" s="140"/>
      <c r="AQ596" s="138"/>
      <c r="AR596" s="140"/>
      <c r="AS596" s="140"/>
      <c r="AT596" s="140"/>
      <c r="AU596" s="140"/>
      <c r="AV596" s="138"/>
      <c r="AW596" s="138"/>
      <c r="AX596" s="140"/>
      <c r="AY596" s="140"/>
      <c r="AZ596" s="140"/>
      <c r="BA596" s="140"/>
      <c r="BB596" s="140"/>
      <c r="BC596" s="140"/>
    </row>
    <row r="597" ht="15.75" customHeight="1">
      <c r="C597" s="137"/>
      <c r="D597" s="138"/>
      <c r="E597" s="138"/>
      <c r="F597" s="138"/>
      <c r="J597" s="138"/>
      <c r="K597" s="138"/>
      <c r="L597" s="138"/>
      <c r="M597" s="139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32"/>
      <c r="AE597" s="140"/>
      <c r="AF597" s="140"/>
      <c r="AG597" s="140"/>
      <c r="AH597" s="140"/>
      <c r="AI597" s="140"/>
      <c r="AJ597" s="141"/>
      <c r="AK597" s="140"/>
      <c r="AL597" s="140"/>
      <c r="AM597" s="140"/>
      <c r="AN597" s="140"/>
      <c r="AO597" s="140"/>
      <c r="AP597" s="140"/>
      <c r="AQ597" s="138"/>
      <c r="AR597" s="140"/>
      <c r="AS597" s="140"/>
      <c r="AT597" s="140"/>
      <c r="AU597" s="140"/>
      <c r="AV597" s="138"/>
      <c r="AW597" s="138"/>
      <c r="AX597" s="140"/>
      <c r="AY597" s="140"/>
      <c r="AZ597" s="140"/>
      <c r="BA597" s="140"/>
      <c r="BB597" s="140"/>
      <c r="BC597" s="140"/>
    </row>
    <row r="598" ht="15.75" customHeight="1">
      <c r="C598" s="137"/>
      <c r="D598" s="138"/>
      <c r="E598" s="138"/>
      <c r="F598" s="138"/>
      <c r="J598" s="138"/>
      <c r="K598" s="138"/>
      <c r="L598" s="138"/>
      <c r="M598" s="139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32"/>
      <c r="AE598" s="140"/>
      <c r="AF598" s="140"/>
      <c r="AG598" s="140"/>
      <c r="AH598" s="140"/>
      <c r="AI598" s="140"/>
      <c r="AJ598" s="141"/>
      <c r="AK598" s="140"/>
      <c r="AL598" s="140"/>
      <c r="AM598" s="140"/>
      <c r="AN598" s="140"/>
      <c r="AO598" s="140"/>
      <c r="AP598" s="140"/>
      <c r="AQ598" s="138"/>
      <c r="AR598" s="140"/>
      <c r="AS598" s="140"/>
      <c r="AT598" s="140"/>
      <c r="AU598" s="140"/>
      <c r="AV598" s="138"/>
      <c r="AW598" s="138"/>
      <c r="AX598" s="140"/>
      <c r="AY598" s="140"/>
      <c r="AZ598" s="140"/>
      <c r="BA598" s="140"/>
      <c r="BB598" s="140"/>
      <c r="BC598" s="140"/>
    </row>
    <row r="599" ht="15.75" customHeight="1">
      <c r="C599" s="137"/>
      <c r="D599" s="138"/>
      <c r="E599" s="138"/>
      <c r="F599" s="138"/>
      <c r="J599" s="138"/>
      <c r="K599" s="138"/>
      <c r="L599" s="138"/>
      <c r="M599" s="139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32"/>
      <c r="AE599" s="140"/>
      <c r="AF599" s="140"/>
      <c r="AG599" s="140"/>
      <c r="AH599" s="140"/>
      <c r="AI599" s="140"/>
      <c r="AJ599" s="141"/>
      <c r="AK599" s="140"/>
      <c r="AL599" s="140"/>
      <c r="AM599" s="140"/>
      <c r="AN599" s="140"/>
      <c r="AO599" s="140"/>
      <c r="AP599" s="140"/>
      <c r="AQ599" s="138"/>
      <c r="AR599" s="140"/>
      <c r="AS599" s="140"/>
      <c r="AT599" s="140"/>
      <c r="AU599" s="140"/>
      <c r="AV599" s="138"/>
      <c r="AW599" s="138"/>
      <c r="AX599" s="140"/>
      <c r="AY599" s="140"/>
      <c r="AZ599" s="140"/>
      <c r="BA599" s="140"/>
      <c r="BB599" s="140"/>
      <c r="BC599" s="140"/>
    </row>
    <row r="600" ht="15.75" customHeight="1">
      <c r="C600" s="137"/>
      <c r="D600" s="138"/>
      <c r="E600" s="138"/>
      <c r="F600" s="138"/>
      <c r="J600" s="138"/>
      <c r="K600" s="138"/>
      <c r="L600" s="138"/>
      <c r="M600" s="139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32"/>
      <c r="AE600" s="140"/>
      <c r="AF600" s="140"/>
      <c r="AG600" s="140"/>
      <c r="AH600" s="140"/>
      <c r="AI600" s="140"/>
      <c r="AJ600" s="141"/>
      <c r="AK600" s="140"/>
      <c r="AL600" s="140"/>
      <c r="AM600" s="140"/>
      <c r="AN600" s="140"/>
      <c r="AO600" s="140"/>
      <c r="AP600" s="140"/>
      <c r="AQ600" s="138"/>
      <c r="AR600" s="140"/>
      <c r="AS600" s="140"/>
      <c r="AT600" s="140"/>
      <c r="AU600" s="140"/>
      <c r="AV600" s="138"/>
      <c r="AW600" s="138"/>
      <c r="AX600" s="140"/>
      <c r="AY600" s="140"/>
      <c r="AZ600" s="140"/>
      <c r="BA600" s="140"/>
      <c r="BB600" s="140"/>
      <c r="BC600" s="140"/>
    </row>
    <row r="601" ht="15.75" customHeight="1">
      <c r="C601" s="137"/>
      <c r="D601" s="138"/>
      <c r="E601" s="138"/>
      <c r="F601" s="138"/>
      <c r="J601" s="138"/>
      <c r="K601" s="138"/>
      <c r="L601" s="138"/>
      <c r="M601" s="139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32"/>
      <c r="AE601" s="140"/>
      <c r="AF601" s="140"/>
      <c r="AG601" s="140"/>
      <c r="AH601" s="140"/>
      <c r="AI601" s="140"/>
      <c r="AJ601" s="141"/>
      <c r="AK601" s="140"/>
      <c r="AL601" s="140"/>
      <c r="AM601" s="140"/>
      <c r="AN601" s="140"/>
      <c r="AO601" s="140"/>
      <c r="AP601" s="140"/>
      <c r="AQ601" s="138"/>
      <c r="AR601" s="140"/>
      <c r="AS601" s="140"/>
      <c r="AT601" s="140"/>
      <c r="AU601" s="140"/>
      <c r="AV601" s="138"/>
      <c r="AW601" s="138"/>
      <c r="AX601" s="140"/>
      <c r="AY601" s="140"/>
      <c r="AZ601" s="140"/>
      <c r="BA601" s="140"/>
      <c r="BB601" s="140"/>
      <c r="BC601" s="140"/>
    </row>
    <row r="602" ht="15.75" customHeight="1">
      <c r="C602" s="137"/>
      <c r="D602" s="138"/>
      <c r="E602" s="138"/>
      <c r="F602" s="138"/>
      <c r="J602" s="138"/>
      <c r="K602" s="138"/>
      <c r="L602" s="138"/>
      <c r="M602" s="139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32"/>
      <c r="AE602" s="140"/>
      <c r="AF602" s="140"/>
      <c r="AG602" s="140"/>
      <c r="AH602" s="140"/>
      <c r="AI602" s="140"/>
      <c r="AJ602" s="141"/>
      <c r="AK602" s="140"/>
      <c r="AL602" s="140"/>
      <c r="AM602" s="140"/>
      <c r="AN602" s="140"/>
      <c r="AO602" s="140"/>
      <c r="AP602" s="140"/>
      <c r="AQ602" s="138"/>
      <c r="AR602" s="140"/>
      <c r="AS602" s="140"/>
      <c r="AT602" s="140"/>
      <c r="AU602" s="140"/>
      <c r="AV602" s="138"/>
      <c r="AW602" s="138"/>
      <c r="AX602" s="140"/>
      <c r="AY602" s="140"/>
      <c r="AZ602" s="140"/>
      <c r="BA602" s="140"/>
      <c r="BB602" s="140"/>
      <c r="BC602" s="140"/>
    </row>
    <row r="603" ht="15.75" customHeight="1">
      <c r="C603" s="137"/>
      <c r="D603" s="138"/>
      <c r="E603" s="138"/>
      <c r="F603" s="138"/>
      <c r="J603" s="138"/>
      <c r="K603" s="138"/>
      <c r="L603" s="138"/>
      <c r="M603" s="139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32"/>
      <c r="AE603" s="140"/>
      <c r="AF603" s="140"/>
      <c r="AG603" s="140"/>
      <c r="AH603" s="140"/>
      <c r="AI603" s="140"/>
      <c r="AJ603" s="141"/>
      <c r="AK603" s="140"/>
      <c r="AL603" s="140"/>
      <c r="AM603" s="140"/>
      <c r="AN603" s="140"/>
      <c r="AO603" s="140"/>
      <c r="AP603" s="140"/>
      <c r="AQ603" s="138"/>
      <c r="AR603" s="140"/>
      <c r="AS603" s="140"/>
      <c r="AT603" s="140"/>
      <c r="AU603" s="140"/>
      <c r="AV603" s="138"/>
      <c r="AW603" s="138"/>
      <c r="AX603" s="140"/>
      <c r="AY603" s="140"/>
      <c r="AZ603" s="140"/>
      <c r="BA603" s="140"/>
      <c r="BB603" s="140"/>
      <c r="BC603" s="140"/>
    </row>
    <row r="604" ht="15.75" customHeight="1">
      <c r="C604" s="137"/>
      <c r="D604" s="138"/>
      <c r="E604" s="138"/>
      <c r="F604" s="138"/>
      <c r="J604" s="138"/>
      <c r="K604" s="138"/>
      <c r="L604" s="138"/>
      <c r="M604" s="139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32"/>
      <c r="AE604" s="140"/>
      <c r="AF604" s="140"/>
      <c r="AG604" s="140"/>
      <c r="AH604" s="140"/>
      <c r="AI604" s="140"/>
      <c r="AJ604" s="141"/>
      <c r="AK604" s="140"/>
      <c r="AL604" s="140"/>
      <c r="AM604" s="140"/>
      <c r="AN604" s="140"/>
      <c r="AO604" s="140"/>
      <c r="AP604" s="140"/>
      <c r="AQ604" s="138"/>
      <c r="AR604" s="140"/>
      <c r="AS604" s="140"/>
      <c r="AT604" s="140"/>
      <c r="AU604" s="140"/>
      <c r="AV604" s="138"/>
      <c r="AW604" s="138"/>
      <c r="AX604" s="140"/>
      <c r="AY604" s="140"/>
      <c r="AZ604" s="140"/>
      <c r="BA604" s="140"/>
      <c r="BB604" s="140"/>
      <c r="BC604" s="140"/>
    </row>
    <row r="605" ht="15.75" customHeight="1">
      <c r="C605" s="137"/>
      <c r="D605" s="138"/>
      <c r="E605" s="138"/>
      <c r="F605" s="138"/>
      <c r="J605" s="138"/>
      <c r="K605" s="138"/>
      <c r="L605" s="138"/>
      <c r="M605" s="139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32"/>
      <c r="AE605" s="140"/>
      <c r="AF605" s="140"/>
      <c r="AG605" s="140"/>
      <c r="AH605" s="140"/>
      <c r="AI605" s="140"/>
      <c r="AJ605" s="141"/>
      <c r="AK605" s="140"/>
      <c r="AL605" s="140"/>
      <c r="AM605" s="140"/>
      <c r="AN605" s="140"/>
      <c r="AO605" s="140"/>
      <c r="AP605" s="140"/>
      <c r="AQ605" s="138"/>
      <c r="AR605" s="140"/>
      <c r="AS605" s="140"/>
      <c r="AT605" s="140"/>
      <c r="AU605" s="140"/>
      <c r="AV605" s="138"/>
      <c r="AW605" s="138"/>
      <c r="AX605" s="140"/>
      <c r="AY605" s="140"/>
      <c r="AZ605" s="140"/>
      <c r="BA605" s="140"/>
      <c r="BB605" s="140"/>
      <c r="BC605" s="140"/>
    </row>
    <row r="606" ht="15.75" customHeight="1">
      <c r="C606" s="137"/>
      <c r="D606" s="138"/>
      <c r="E606" s="138"/>
      <c r="F606" s="138"/>
      <c r="J606" s="138"/>
      <c r="K606" s="138"/>
      <c r="L606" s="138"/>
      <c r="M606" s="139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32"/>
      <c r="AE606" s="140"/>
      <c r="AF606" s="140"/>
      <c r="AG606" s="140"/>
      <c r="AH606" s="140"/>
      <c r="AI606" s="140"/>
      <c r="AJ606" s="141"/>
      <c r="AK606" s="140"/>
      <c r="AL606" s="140"/>
      <c r="AM606" s="140"/>
      <c r="AN606" s="140"/>
      <c r="AO606" s="140"/>
      <c r="AP606" s="140"/>
      <c r="AQ606" s="138"/>
      <c r="AR606" s="140"/>
      <c r="AS606" s="140"/>
      <c r="AT606" s="140"/>
      <c r="AU606" s="140"/>
      <c r="AV606" s="138"/>
      <c r="AW606" s="138"/>
      <c r="AX606" s="140"/>
      <c r="AY606" s="140"/>
      <c r="AZ606" s="140"/>
      <c r="BA606" s="140"/>
      <c r="BB606" s="140"/>
      <c r="BC606" s="140"/>
    </row>
    <row r="607" ht="15.75" customHeight="1">
      <c r="C607" s="137"/>
      <c r="D607" s="138"/>
      <c r="E607" s="138"/>
      <c r="F607" s="138"/>
      <c r="J607" s="138"/>
      <c r="K607" s="138"/>
      <c r="L607" s="138"/>
      <c r="M607" s="139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32"/>
      <c r="AE607" s="140"/>
      <c r="AF607" s="140"/>
      <c r="AG607" s="140"/>
      <c r="AH607" s="140"/>
      <c r="AI607" s="140"/>
      <c r="AJ607" s="141"/>
      <c r="AK607" s="140"/>
      <c r="AL607" s="140"/>
      <c r="AM607" s="140"/>
      <c r="AN607" s="140"/>
      <c r="AO607" s="140"/>
      <c r="AP607" s="140"/>
      <c r="AQ607" s="138"/>
      <c r="AR607" s="140"/>
      <c r="AS607" s="140"/>
      <c r="AT607" s="140"/>
      <c r="AU607" s="140"/>
      <c r="AV607" s="138"/>
      <c r="AW607" s="138"/>
      <c r="AX607" s="140"/>
      <c r="AY607" s="140"/>
      <c r="AZ607" s="140"/>
      <c r="BA607" s="140"/>
      <c r="BB607" s="140"/>
      <c r="BC607" s="140"/>
    </row>
    <row r="608" ht="15.75" customHeight="1">
      <c r="C608" s="137"/>
      <c r="D608" s="138"/>
      <c r="E608" s="138"/>
      <c r="F608" s="138"/>
      <c r="J608" s="138"/>
      <c r="K608" s="138"/>
      <c r="L608" s="138"/>
      <c r="M608" s="139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32"/>
      <c r="AE608" s="140"/>
      <c r="AF608" s="140"/>
      <c r="AG608" s="140"/>
      <c r="AH608" s="140"/>
      <c r="AI608" s="140"/>
      <c r="AJ608" s="141"/>
      <c r="AK608" s="140"/>
      <c r="AL608" s="140"/>
      <c r="AM608" s="140"/>
      <c r="AN608" s="140"/>
      <c r="AO608" s="140"/>
      <c r="AP608" s="140"/>
      <c r="AQ608" s="138"/>
      <c r="AR608" s="140"/>
      <c r="AS608" s="140"/>
      <c r="AT608" s="140"/>
      <c r="AU608" s="140"/>
      <c r="AV608" s="138"/>
      <c r="AW608" s="138"/>
      <c r="AX608" s="140"/>
      <c r="AY608" s="140"/>
      <c r="AZ608" s="140"/>
      <c r="BA608" s="140"/>
      <c r="BB608" s="140"/>
      <c r="BC608" s="140"/>
    </row>
    <row r="609" ht="15.75" customHeight="1">
      <c r="C609" s="137"/>
      <c r="D609" s="138"/>
      <c r="E609" s="138"/>
      <c r="F609" s="138"/>
      <c r="J609" s="138"/>
      <c r="K609" s="138"/>
      <c r="L609" s="138"/>
      <c r="M609" s="139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32"/>
      <c r="AE609" s="140"/>
      <c r="AF609" s="140"/>
      <c r="AG609" s="140"/>
      <c r="AH609" s="140"/>
      <c r="AI609" s="140"/>
      <c r="AJ609" s="141"/>
      <c r="AK609" s="140"/>
      <c r="AL609" s="140"/>
      <c r="AM609" s="140"/>
      <c r="AN609" s="140"/>
      <c r="AO609" s="140"/>
      <c r="AP609" s="140"/>
      <c r="AQ609" s="138"/>
      <c r="AR609" s="140"/>
      <c r="AS609" s="140"/>
      <c r="AT609" s="140"/>
      <c r="AU609" s="140"/>
      <c r="AV609" s="138"/>
      <c r="AW609" s="138"/>
      <c r="AX609" s="140"/>
      <c r="AY609" s="140"/>
      <c r="AZ609" s="140"/>
      <c r="BA609" s="140"/>
      <c r="BB609" s="140"/>
      <c r="BC609" s="140"/>
    </row>
    <row r="610" ht="15.75" customHeight="1">
      <c r="C610" s="137"/>
      <c r="D610" s="138"/>
      <c r="E610" s="138"/>
      <c r="F610" s="138"/>
      <c r="J610" s="138"/>
      <c r="K610" s="138"/>
      <c r="L610" s="138"/>
      <c r="M610" s="139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32"/>
      <c r="AE610" s="140"/>
      <c r="AF610" s="140"/>
      <c r="AG610" s="140"/>
      <c r="AH610" s="140"/>
      <c r="AI610" s="140"/>
      <c r="AJ610" s="141"/>
      <c r="AK610" s="140"/>
      <c r="AL610" s="140"/>
      <c r="AM610" s="140"/>
      <c r="AN610" s="140"/>
      <c r="AO610" s="140"/>
      <c r="AP610" s="140"/>
      <c r="AQ610" s="138"/>
      <c r="AR610" s="140"/>
      <c r="AS610" s="140"/>
      <c r="AT610" s="140"/>
      <c r="AU610" s="140"/>
      <c r="AV610" s="138"/>
      <c r="AW610" s="138"/>
      <c r="AX610" s="140"/>
      <c r="AY610" s="140"/>
      <c r="AZ610" s="140"/>
      <c r="BA610" s="140"/>
      <c r="BB610" s="140"/>
      <c r="BC610" s="140"/>
    </row>
    <row r="611" ht="15.75" customHeight="1">
      <c r="C611" s="137"/>
      <c r="D611" s="138"/>
      <c r="E611" s="138"/>
      <c r="F611" s="138"/>
      <c r="J611" s="138"/>
      <c r="K611" s="138"/>
      <c r="L611" s="138"/>
      <c r="M611" s="139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32"/>
      <c r="AE611" s="140"/>
      <c r="AF611" s="140"/>
      <c r="AG611" s="140"/>
      <c r="AH611" s="140"/>
      <c r="AI611" s="140"/>
      <c r="AJ611" s="141"/>
      <c r="AK611" s="140"/>
      <c r="AL611" s="140"/>
      <c r="AM611" s="140"/>
      <c r="AN611" s="140"/>
      <c r="AO611" s="140"/>
      <c r="AP611" s="140"/>
      <c r="AQ611" s="138"/>
      <c r="AR611" s="140"/>
      <c r="AS611" s="140"/>
      <c r="AT611" s="140"/>
      <c r="AU611" s="140"/>
      <c r="AV611" s="138"/>
      <c r="AW611" s="138"/>
      <c r="AX611" s="140"/>
      <c r="AY611" s="140"/>
      <c r="AZ611" s="140"/>
      <c r="BA611" s="140"/>
      <c r="BB611" s="140"/>
      <c r="BC611" s="140"/>
    </row>
    <row r="612" ht="15.75" customHeight="1">
      <c r="C612" s="137"/>
      <c r="D612" s="138"/>
      <c r="E612" s="138"/>
      <c r="F612" s="138"/>
      <c r="J612" s="138"/>
      <c r="K612" s="138"/>
      <c r="L612" s="138"/>
      <c r="M612" s="139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32"/>
      <c r="AE612" s="140"/>
      <c r="AF612" s="140"/>
      <c r="AG612" s="140"/>
      <c r="AH612" s="140"/>
      <c r="AI612" s="140"/>
      <c r="AJ612" s="141"/>
      <c r="AK612" s="140"/>
      <c r="AL612" s="140"/>
      <c r="AM612" s="140"/>
      <c r="AN612" s="140"/>
      <c r="AO612" s="140"/>
      <c r="AP612" s="140"/>
      <c r="AQ612" s="138"/>
      <c r="AR612" s="140"/>
      <c r="AS612" s="140"/>
      <c r="AT612" s="140"/>
      <c r="AU612" s="140"/>
      <c r="AV612" s="138"/>
      <c r="AW612" s="138"/>
      <c r="AX612" s="140"/>
      <c r="AY612" s="140"/>
      <c r="AZ612" s="140"/>
      <c r="BA612" s="140"/>
      <c r="BB612" s="140"/>
      <c r="BC612" s="140"/>
    </row>
    <row r="613" ht="15.75" customHeight="1">
      <c r="C613" s="137"/>
      <c r="D613" s="138"/>
      <c r="E613" s="138"/>
      <c r="F613" s="138"/>
      <c r="J613" s="138"/>
      <c r="K613" s="138"/>
      <c r="L613" s="138"/>
      <c r="M613" s="139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32"/>
      <c r="AE613" s="140"/>
      <c r="AF613" s="140"/>
      <c r="AG613" s="140"/>
      <c r="AH613" s="140"/>
      <c r="AI613" s="140"/>
      <c r="AJ613" s="141"/>
      <c r="AK613" s="140"/>
      <c r="AL613" s="140"/>
      <c r="AM613" s="140"/>
      <c r="AN613" s="140"/>
      <c r="AO613" s="140"/>
      <c r="AP613" s="140"/>
      <c r="AQ613" s="138"/>
      <c r="AR613" s="140"/>
      <c r="AS613" s="140"/>
      <c r="AT613" s="140"/>
      <c r="AU613" s="140"/>
      <c r="AV613" s="138"/>
      <c r="AW613" s="138"/>
      <c r="AX613" s="140"/>
      <c r="AY613" s="140"/>
      <c r="AZ613" s="140"/>
      <c r="BA613" s="140"/>
      <c r="BB613" s="140"/>
      <c r="BC613" s="140"/>
    </row>
    <row r="614" ht="15.75" customHeight="1">
      <c r="C614" s="137"/>
      <c r="D614" s="138"/>
      <c r="E614" s="138"/>
      <c r="F614" s="138"/>
      <c r="J614" s="138"/>
      <c r="K614" s="138"/>
      <c r="L614" s="138"/>
      <c r="M614" s="139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32"/>
      <c r="AE614" s="140"/>
      <c r="AF614" s="140"/>
      <c r="AG614" s="140"/>
      <c r="AH614" s="140"/>
      <c r="AI614" s="140"/>
      <c r="AJ614" s="141"/>
      <c r="AK614" s="140"/>
      <c r="AL614" s="140"/>
      <c r="AM614" s="140"/>
      <c r="AN614" s="140"/>
      <c r="AO614" s="140"/>
      <c r="AP614" s="140"/>
      <c r="AQ614" s="138"/>
      <c r="AR614" s="140"/>
      <c r="AS614" s="140"/>
      <c r="AT614" s="140"/>
      <c r="AU614" s="140"/>
      <c r="AV614" s="138"/>
      <c r="AW614" s="138"/>
      <c r="AX614" s="140"/>
      <c r="AY614" s="140"/>
      <c r="AZ614" s="140"/>
      <c r="BA614" s="140"/>
      <c r="BB614" s="140"/>
      <c r="BC614" s="140"/>
    </row>
    <row r="615" ht="15.75" customHeight="1">
      <c r="C615" s="137"/>
      <c r="D615" s="138"/>
      <c r="E615" s="138"/>
      <c r="F615" s="138"/>
      <c r="J615" s="138"/>
      <c r="K615" s="138"/>
      <c r="L615" s="138"/>
      <c r="M615" s="139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32"/>
      <c r="AE615" s="140"/>
      <c r="AF615" s="140"/>
      <c r="AG615" s="140"/>
      <c r="AH615" s="140"/>
      <c r="AI615" s="140"/>
      <c r="AJ615" s="141"/>
      <c r="AK615" s="140"/>
      <c r="AL615" s="140"/>
      <c r="AM615" s="140"/>
      <c r="AN615" s="140"/>
      <c r="AO615" s="140"/>
      <c r="AP615" s="140"/>
      <c r="AQ615" s="138"/>
      <c r="AR615" s="140"/>
      <c r="AS615" s="140"/>
      <c r="AT615" s="140"/>
      <c r="AU615" s="140"/>
      <c r="AV615" s="138"/>
      <c r="AW615" s="138"/>
      <c r="AX615" s="140"/>
      <c r="AY615" s="140"/>
      <c r="AZ615" s="140"/>
      <c r="BA615" s="140"/>
      <c r="BB615" s="140"/>
      <c r="BC615" s="140"/>
    </row>
    <row r="616" ht="15.75" customHeight="1">
      <c r="C616" s="137"/>
      <c r="D616" s="138"/>
      <c r="E616" s="138"/>
      <c r="F616" s="138"/>
      <c r="J616" s="138"/>
      <c r="K616" s="138"/>
      <c r="L616" s="138"/>
      <c r="M616" s="139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32"/>
      <c r="AE616" s="140"/>
      <c r="AF616" s="140"/>
      <c r="AG616" s="140"/>
      <c r="AH616" s="140"/>
      <c r="AI616" s="140"/>
      <c r="AJ616" s="141"/>
      <c r="AK616" s="140"/>
      <c r="AL616" s="140"/>
      <c r="AM616" s="140"/>
      <c r="AN616" s="140"/>
      <c r="AO616" s="140"/>
      <c r="AP616" s="140"/>
      <c r="AQ616" s="138"/>
      <c r="AR616" s="140"/>
      <c r="AS616" s="140"/>
      <c r="AT616" s="140"/>
      <c r="AU616" s="140"/>
      <c r="AV616" s="138"/>
      <c r="AW616" s="138"/>
      <c r="AX616" s="140"/>
      <c r="AY616" s="140"/>
      <c r="AZ616" s="140"/>
      <c r="BA616" s="140"/>
      <c r="BB616" s="140"/>
      <c r="BC616" s="140"/>
    </row>
    <row r="617" ht="15.75" customHeight="1">
      <c r="C617" s="137"/>
      <c r="D617" s="138"/>
      <c r="E617" s="138"/>
      <c r="F617" s="138"/>
      <c r="J617" s="138"/>
      <c r="K617" s="138"/>
      <c r="L617" s="138"/>
      <c r="M617" s="139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32"/>
      <c r="AE617" s="140"/>
      <c r="AF617" s="140"/>
      <c r="AG617" s="140"/>
      <c r="AH617" s="140"/>
      <c r="AI617" s="140"/>
      <c r="AJ617" s="141"/>
      <c r="AK617" s="140"/>
      <c r="AL617" s="140"/>
      <c r="AM617" s="140"/>
      <c r="AN617" s="140"/>
      <c r="AO617" s="140"/>
      <c r="AP617" s="140"/>
      <c r="AQ617" s="138"/>
      <c r="AR617" s="140"/>
      <c r="AS617" s="140"/>
      <c r="AT617" s="140"/>
      <c r="AU617" s="140"/>
      <c r="AV617" s="138"/>
      <c r="AW617" s="138"/>
      <c r="AX617" s="140"/>
      <c r="AY617" s="140"/>
      <c r="AZ617" s="140"/>
      <c r="BA617" s="140"/>
      <c r="BB617" s="140"/>
      <c r="BC617" s="140"/>
    </row>
    <row r="618" ht="15.75" customHeight="1">
      <c r="C618" s="137"/>
      <c r="D618" s="138"/>
      <c r="E618" s="138"/>
      <c r="F618" s="138"/>
      <c r="J618" s="138"/>
      <c r="K618" s="138"/>
      <c r="L618" s="138"/>
      <c r="M618" s="139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32"/>
      <c r="AE618" s="140"/>
      <c r="AF618" s="140"/>
      <c r="AG618" s="140"/>
      <c r="AH618" s="140"/>
      <c r="AI618" s="140"/>
      <c r="AJ618" s="141"/>
      <c r="AK618" s="140"/>
      <c r="AL618" s="140"/>
      <c r="AM618" s="140"/>
      <c r="AN618" s="140"/>
      <c r="AO618" s="140"/>
      <c r="AP618" s="140"/>
      <c r="AQ618" s="138"/>
      <c r="AR618" s="140"/>
      <c r="AS618" s="140"/>
      <c r="AT618" s="140"/>
      <c r="AU618" s="140"/>
      <c r="AV618" s="138"/>
      <c r="AW618" s="138"/>
      <c r="AX618" s="140"/>
      <c r="AY618" s="140"/>
      <c r="AZ618" s="140"/>
      <c r="BA618" s="140"/>
      <c r="BB618" s="140"/>
      <c r="BC618" s="140"/>
    </row>
    <row r="619" ht="15.75" customHeight="1">
      <c r="C619" s="137"/>
      <c r="D619" s="138"/>
      <c r="E619" s="138"/>
      <c r="F619" s="138"/>
      <c r="J619" s="138"/>
      <c r="K619" s="138"/>
      <c r="L619" s="138"/>
      <c r="M619" s="139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32"/>
      <c r="AE619" s="140"/>
      <c r="AF619" s="140"/>
      <c r="AG619" s="140"/>
      <c r="AH619" s="140"/>
      <c r="AI619" s="140"/>
      <c r="AJ619" s="141"/>
      <c r="AK619" s="140"/>
      <c r="AL619" s="140"/>
      <c r="AM619" s="140"/>
      <c r="AN619" s="140"/>
      <c r="AO619" s="140"/>
      <c r="AP619" s="140"/>
      <c r="AQ619" s="138"/>
      <c r="AR619" s="140"/>
      <c r="AS619" s="140"/>
      <c r="AT619" s="140"/>
      <c r="AU619" s="140"/>
      <c r="AV619" s="138"/>
      <c r="AW619" s="138"/>
      <c r="AX619" s="140"/>
      <c r="AY619" s="140"/>
      <c r="AZ619" s="140"/>
      <c r="BA619" s="140"/>
      <c r="BB619" s="140"/>
      <c r="BC619" s="140"/>
    </row>
    <row r="620" ht="15.75" customHeight="1">
      <c r="C620" s="137"/>
      <c r="D620" s="138"/>
      <c r="E620" s="138"/>
      <c r="F620" s="138"/>
      <c r="J620" s="138"/>
      <c r="K620" s="138"/>
      <c r="L620" s="138"/>
      <c r="M620" s="139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32"/>
      <c r="AE620" s="140"/>
      <c r="AF620" s="140"/>
      <c r="AG620" s="140"/>
      <c r="AH620" s="140"/>
      <c r="AI620" s="140"/>
      <c r="AJ620" s="141"/>
      <c r="AK620" s="140"/>
      <c r="AL620" s="140"/>
      <c r="AM620" s="140"/>
      <c r="AN620" s="140"/>
      <c r="AO620" s="140"/>
      <c r="AP620" s="140"/>
      <c r="AQ620" s="138"/>
      <c r="AR620" s="140"/>
      <c r="AS620" s="140"/>
      <c r="AT620" s="140"/>
      <c r="AU620" s="140"/>
      <c r="AV620" s="138"/>
      <c r="AW620" s="138"/>
      <c r="AX620" s="140"/>
      <c r="AY620" s="140"/>
      <c r="AZ620" s="140"/>
      <c r="BA620" s="140"/>
      <c r="BB620" s="140"/>
      <c r="BC620" s="140"/>
    </row>
    <row r="621" ht="15.75" customHeight="1">
      <c r="C621" s="137"/>
      <c r="D621" s="138"/>
      <c r="E621" s="138"/>
      <c r="F621" s="138"/>
      <c r="J621" s="138"/>
      <c r="K621" s="138"/>
      <c r="L621" s="138"/>
      <c r="M621" s="139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32"/>
      <c r="AE621" s="140"/>
      <c r="AF621" s="140"/>
      <c r="AG621" s="140"/>
      <c r="AH621" s="140"/>
      <c r="AI621" s="140"/>
      <c r="AJ621" s="141"/>
      <c r="AK621" s="140"/>
      <c r="AL621" s="140"/>
      <c r="AM621" s="140"/>
      <c r="AN621" s="140"/>
      <c r="AO621" s="140"/>
      <c r="AP621" s="140"/>
      <c r="AQ621" s="138"/>
      <c r="AR621" s="140"/>
      <c r="AS621" s="140"/>
      <c r="AT621" s="140"/>
      <c r="AU621" s="140"/>
      <c r="AV621" s="138"/>
      <c r="AW621" s="138"/>
      <c r="AX621" s="140"/>
      <c r="AY621" s="140"/>
      <c r="AZ621" s="140"/>
      <c r="BA621" s="140"/>
      <c r="BB621" s="140"/>
      <c r="BC621" s="140"/>
    </row>
    <row r="622" ht="15.75" customHeight="1">
      <c r="C622" s="137"/>
      <c r="D622" s="138"/>
      <c r="E622" s="138"/>
      <c r="F622" s="138"/>
      <c r="J622" s="138"/>
      <c r="K622" s="138"/>
      <c r="L622" s="138"/>
      <c r="M622" s="139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32"/>
      <c r="AE622" s="140"/>
      <c r="AF622" s="140"/>
      <c r="AG622" s="140"/>
      <c r="AH622" s="140"/>
      <c r="AI622" s="140"/>
      <c r="AJ622" s="141"/>
      <c r="AK622" s="140"/>
      <c r="AL622" s="140"/>
      <c r="AM622" s="140"/>
      <c r="AN622" s="140"/>
      <c r="AO622" s="140"/>
      <c r="AP622" s="140"/>
      <c r="AQ622" s="138"/>
      <c r="AR622" s="140"/>
      <c r="AS622" s="140"/>
      <c r="AT622" s="140"/>
      <c r="AU622" s="140"/>
      <c r="AV622" s="138"/>
      <c r="AW622" s="138"/>
      <c r="AX622" s="140"/>
      <c r="AY622" s="140"/>
      <c r="AZ622" s="140"/>
      <c r="BA622" s="140"/>
      <c r="BB622" s="140"/>
      <c r="BC622" s="140"/>
    </row>
    <row r="623" ht="15.75" customHeight="1">
      <c r="C623" s="137"/>
      <c r="D623" s="138"/>
      <c r="E623" s="138"/>
      <c r="F623" s="138"/>
      <c r="J623" s="138"/>
      <c r="K623" s="138"/>
      <c r="L623" s="138"/>
      <c r="M623" s="139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32"/>
      <c r="AE623" s="140"/>
      <c r="AF623" s="140"/>
      <c r="AG623" s="140"/>
      <c r="AH623" s="140"/>
      <c r="AI623" s="140"/>
      <c r="AJ623" s="141"/>
      <c r="AK623" s="140"/>
      <c r="AL623" s="140"/>
      <c r="AM623" s="140"/>
      <c r="AN623" s="140"/>
      <c r="AO623" s="140"/>
      <c r="AP623" s="140"/>
      <c r="AQ623" s="138"/>
      <c r="AR623" s="140"/>
      <c r="AS623" s="140"/>
      <c r="AT623" s="140"/>
      <c r="AU623" s="140"/>
      <c r="AV623" s="138"/>
      <c r="AW623" s="138"/>
      <c r="AX623" s="140"/>
      <c r="AY623" s="140"/>
      <c r="AZ623" s="140"/>
      <c r="BA623" s="140"/>
      <c r="BB623" s="140"/>
      <c r="BC623" s="140"/>
    </row>
    <row r="624" ht="15.75" customHeight="1">
      <c r="C624" s="137"/>
      <c r="D624" s="138"/>
      <c r="E624" s="138"/>
      <c r="F624" s="138"/>
      <c r="J624" s="138"/>
      <c r="K624" s="138"/>
      <c r="L624" s="138"/>
      <c r="M624" s="139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32"/>
      <c r="AE624" s="140"/>
      <c r="AF624" s="140"/>
      <c r="AG624" s="140"/>
      <c r="AH624" s="140"/>
      <c r="AI624" s="140"/>
      <c r="AJ624" s="141"/>
      <c r="AK624" s="140"/>
      <c r="AL624" s="140"/>
      <c r="AM624" s="140"/>
      <c r="AN624" s="140"/>
      <c r="AO624" s="140"/>
      <c r="AP624" s="140"/>
      <c r="AQ624" s="138"/>
      <c r="AR624" s="140"/>
      <c r="AS624" s="140"/>
      <c r="AT624" s="140"/>
      <c r="AU624" s="140"/>
      <c r="AV624" s="138"/>
      <c r="AW624" s="138"/>
      <c r="AX624" s="140"/>
      <c r="AY624" s="140"/>
      <c r="AZ624" s="140"/>
      <c r="BA624" s="140"/>
      <c r="BB624" s="140"/>
      <c r="BC624" s="140"/>
    </row>
    <row r="625" ht="15.75" customHeight="1">
      <c r="C625" s="137"/>
      <c r="D625" s="138"/>
      <c r="E625" s="138"/>
      <c r="F625" s="138"/>
      <c r="J625" s="138"/>
      <c r="K625" s="138"/>
      <c r="L625" s="138"/>
      <c r="M625" s="139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32"/>
      <c r="AE625" s="140"/>
      <c r="AF625" s="140"/>
      <c r="AG625" s="140"/>
      <c r="AH625" s="140"/>
      <c r="AI625" s="140"/>
      <c r="AJ625" s="141"/>
      <c r="AK625" s="140"/>
      <c r="AL625" s="140"/>
      <c r="AM625" s="140"/>
      <c r="AN625" s="140"/>
      <c r="AO625" s="140"/>
      <c r="AP625" s="140"/>
      <c r="AQ625" s="138"/>
      <c r="AR625" s="140"/>
      <c r="AS625" s="140"/>
      <c r="AT625" s="140"/>
      <c r="AU625" s="140"/>
      <c r="AV625" s="138"/>
      <c r="AW625" s="138"/>
      <c r="AX625" s="140"/>
      <c r="AY625" s="140"/>
      <c r="AZ625" s="140"/>
      <c r="BA625" s="140"/>
      <c r="BB625" s="140"/>
      <c r="BC625" s="140"/>
    </row>
    <row r="626" ht="15.75" customHeight="1">
      <c r="C626" s="137"/>
      <c r="D626" s="138"/>
      <c r="E626" s="138"/>
      <c r="F626" s="138"/>
      <c r="J626" s="138"/>
      <c r="K626" s="138"/>
      <c r="L626" s="138"/>
      <c r="M626" s="139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32"/>
      <c r="AE626" s="140"/>
      <c r="AF626" s="140"/>
      <c r="AG626" s="140"/>
      <c r="AH626" s="140"/>
      <c r="AI626" s="140"/>
      <c r="AJ626" s="141"/>
      <c r="AK626" s="140"/>
      <c r="AL626" s="140"/>
      <c r="AM626" s="140"/>
      <c r="AN626" s="140"/>
      <c r="AO626" s="140"/>
      <c r="AP626" s="140"/>
      <c r="AQ626" s="138"/>
      <c r="AR626" s="140"/>
      <c r="AS626" s="140"/>
      <c r="AT626" s="140"/>
      <c r="AU626" s="140"/>
      <c r="AV626" s="138"/>
      <c r="AW626" s="138"/>
      <c r="AX626" s="140"/>
      <c r="AY626" s="140"/>
      <c r="AZ626" s="140"/>
      <c r="BA626" s="140"/>
      <c r="BB626" s="140"/>
      <c r="BC626" s="140"/>
    </row>
    <row r="627" ht="15.75" customHeight="1">
      <c r="C627" s="137"/>
      <c r="D627" s="138"/>
      <c r="E627" s="138"/>
      <c r="F627" s="138"/>
      <c r="J627" s="138"/>
      <c r="K627" s="138"/>
      <c r="L627" s="138"/>
      <c r="M627" s="139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32"/>
      <c r="AE627" s="140"/>
      <c r="AF627" s="140"/>
      <c r="AG627" s="140"/>
      <c r="AH627" s="140"/>
      <c r="AI627" s="140"/>
      <c r="AJ627" s="141"/>
      <c r="AK627" s="140"/>
      <c r="AL627" s="140"/>
      <c r="AM627" s="140"/>
      <c r="AN627" s="140"/>
      <c r="AO627" s="140"/>
      <c r="AP627" s="140"/>
      <c r="AQ627" s="138"/>
      <c r="AR627" s="140"/>
      <c r="AS627" s="140"/>
      <c r="AT627" s="140"/>
      <c r="AU627" s="140"/>
      <c r="AV627" s="138"/>
      <c r="AW627" s="138"/>
      <c r="AX627" s="140"/>
      <c r="AY627" s="140"/>
      <c r="AZ627" s="140"/>
      <c r="BA627" s="140"/>
      <c r="BB627" s="140"/>
      <c r="BC627" s="140"/>
    </row>
    <row r="628" ht="15.75" customHeight="1">
      <c r="C628" s="137"/>
      <c r="D628" s="138"/>
      <c r="E628" s="138"/>
      <c r="F628" s="138"/>
      <c r="J628" s="138"/>
      <c r="K628" s="138"/>
      <c r="L628" s="138"/>
      <c r="M628" s="139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32"/>
      <c r="AE628" s="140"/>
      <c r="AF628" s="140"/>
      <c r="AG628" s="140"/>
      <c r="AH628" s="140"/>
      <c r="AI628" s="140"/>
      <c r="AJ628" s="141"/>
      <c r="AK628" s="140"/>
      <c r="AL628" s="140"/>
      <c r="AM628" s="140"/>
      <c r="AN628" s="140"/>
      <c r="AO628" s="140"/>
      <c r="AP628" s="140"/>
      <c r="AQ628" s="138"/>
      <c r="AR628" s="140"/>
      <c r="AS628" s="140"/>
      <c r="AT628" s="140"/>
      <c r="AU628" s="140"/>
      <c r="AV628" s="138"/>
      <c r="AW628" s="138"/>
      <c r="AX628" s="140"/>
      <c r="AY628" s="140"/>
      <c r="AZ628" s="140"/>
      <c r="BA628" s="140"/>
      <c r="BB628" s="140"/>
      <c r="BC628" s="140"/>
    </row>
    <row r="629" ht="15.75" customHeight="1">
      <c r="C629" s="137"/>
      <c r="D629" s="138"/>
      <c r="E629" s="138"/>
      <c r="F629" s="138"/>
      <c r="J629" s="138"/>
      <c r="K629" s="138"/>
      <c r="L629" s="138"/>
      <c r="M629" s="139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32"/>
      <c r="AE629" s="140"/>
      <c r="AF629" s="140"/>
      <c r="AG629" s="140"/>
      <c r="AH629" s="140"/>
      <c r="AI629" s="140"/>
      <c r="AJ629" s="141"/>
      <c r="AK629" s="140"/>
      <c r="AL629" s="140"/>
      <c r="AM629" s="140"/>
      <c r="AN629" s="140"/>
      <c r="AO629" s="140"/>
      <c r="AP629" s="140"/>
      <c r="AQ629" s="138"/>
      <c r="AR629" s="140"/>
      <c r="AS629" s="140"/>
      <c r="AT629" s="140"/>
      <c r="AU629" s="140"/>
      <c r="AV629" s="138"/>
      <c r="AW629" s="138"/>
      <c r="AX629" s="140"/>
      <c r="AY629" s="140"/>
      <c r="AZ629" s="140"/>
      <c r="BA629" s="140"/>
      <c r="BB629" s="140"/>
      <c r="BC629" s="140"/>
    </row>
    <row r="630" ht="15.75" customHeight="1">
      <c r="C630" s="137"/>
      <c r="D630" s="138"/>
      <c r="E630" s="138"/>
      <c r="F630" s="138"/>
      <c r="J630" s="138"/>
      <c r="K630" s="138"/>
      <c r="L630" s="138"/>
      <c r="M630" s="139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32"/>
      <c r="AE630" s="140"/>
      <c r="AF630" s="140"/>
      <c r="AG630" s="140"/>
      <c r="AH630" s="140"/>
      <c r="AI630" s="140"/>
      <c r="AJ630" s="141"/>
      <c r="AK630" s="140"/>
      <c r="AL630" s="140"/>
      <c r="AM630" s="140"/>
      <c r="AN630" s="140"/>
      <c r="AO630" s="140"/>
      <c r="AP630" s="140"/>
      <c r="AQ630" s="138"/>
      <c r="AR630" s="140"/>
      <c r="AS630" s="140"/>
      <c r="AT630" s="140"/>
      <c r="AU630" s="140"/>
      <c r="AV630" s="138"/>
      <c r="AW630" s="138"/>
      <c r="AX630" s="140"/>
      <c r="AY630" s="140"/>
      <c r="AZ630" s="140"/>
      <c r="BA630" s="140"/>
      <c r="BB630" s="140"/>
      <c r="BC630" s="140"/>
    </row>
    <row r="631" ht="15.75" customHeight="1">
      <c r="C631" s="137"/>
      <c r="D631" s="138"/>
      <c r="E631" s="138"/>
      <c r="F631" s="138"/>
      <c r="J631" s="138"/>
      <c r="K631" s="138"/>
      <c r="L631" s="138"/>
      <c r="M631" s="139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32"/>
      <c r="AE631" s="140"/>
      <c r="AF631" s="140"/>
      <c r="AG631" s="140"/>
      <c r="AH631" s="140"/>
      <c r="AI631" s="140"/>
      <c r="AJ631" s="141"/>
      <c r="AK631" s="140"/>
      <c r="AL631" s="140"/>
      <c r="AM631" s="140"/>
      <c r="AN631" s="140"/>
      <c r="AO631" s="140"/>
      <c r="AP631" s="140"/>
      <c r="AQ631" s="138"/>
      <c r="AR631" s="140"/>
      <c r="AS631" s="140"/>
      <c r="AT631" s="140"/>
      <c r="AU631" s="140"/>
      <c r="AV631" s="138"/>
      <c r="AW631" s="138"/>
      <c r="AX631" s="140"/>
      <c r="AY631" s="140"/>
      <c r="AZ631" s="140"/>
      <c r="BA631" s="140"/>
      <c r="BB631" s="140"/>
      <c r="BC631" s="140"/>
    </row>
    <row r="632" ht="15.75" customHeight="1">
      <c r="C632" s="137"/>
      <c r="D632" s="138"/>
      <c r="E632" s="138"/>
      <c r="F632" s="138"/>
      <c r="J632" s="138"/>
      <c r="K632" s="138"/>
      <c r="L632" s="138"/>
      <c r="M632" s="139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32"/>
      <c r="AE632" s="140"/>
      <c r="AF632" s="140"/>
      <c r="AG632" s="140"/>
      <c r="AH632" s="140"/>
      <c r="AI632" s="140"/>
      <c r="AJ632" s="141"/>
      <c r="AK632" s="140"/>
      <c r="AL632" s="140"/>
      <c r="AM632" s="140"/>
      <c r="AN632" s="140"/>
      <c r="AO632" s="140"/>
      <c r="AP632" s="140"/>
      <c r="AQ632" s="138"/>
      <c r="AR632" s="140"/>
      <c r="AS632" s="140"/>
      <c r="AT632" s="140"/>
      <c r="AU632" s="140"/>
      <c r="AV632" s="138"/>
      <c r="AW632" s="138"/>
      <c r="AX632" s="140"/>
      <c r="AY632" s="140"/>
      <c r="AZ632" s="140"/>
      <c r="BA632" s="140"/>
      <c r="BB632" s="140"/>
      <c r="BC632" s="140"/>
    </row>
    <row r="633" ht="15.75" customHeight="1">
      <c r="C633" s="137"/>
      <c r="D633" s="138"/>
      <c r="E633" s="138"/>
      <c r="F633" s="138"/>
      <c r="J633" s="138"/>
      <c r="K633" s="138"/>
      <c r="L633" s="138"/>
      <c r="M633" s="139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32"/>
      <c r="AE633" s="140"/>
      <c r="AF633" s="140"/>
      <c r="AG633" s="140"/>
      <c r="AH633" s="140"/>
      <c r="AI633" s="140"/>
      <c r="AJ633" s="141"/>
      <c r="AK633" s="140"/>
      <c r="AL633" s="140"/>
      <c r="AM633" s="140"/>
      <c r="AN633" s="140"/>
      <c r="AO633" s="140"/>
      <c r="AP633" s="140"/>
      <c r="AQ633" s="138"/>
      <c r="AR633" s="140"/>
      <c r="AS633" s="140"/>
      <c r="AT633" s="140"/>
      <c r="AU633" s="140"/>
      <c r="AV633" s="138"/>
      <c r="AW633" s="138"/>
      <c r="AX633" s="140"/>
      <c r="AY633" s="140"/>
      <c r="AZ633" s="140"/>
      <c r="BA633" s="140"/>
      <c r="BB633" s="140"/>
      <c r="BC633" s="140"/>
    </row>
    <row r="634" ht="15.75" customHeight="1">
      <c r="C634" s="137"/>
      <c r="D634" s="138"/>
      <c r="E634" s="138"/>
      <c r="F634" s="138"/>
      <c r="J634" s="138"/>
      <c r="K634" s="138"/>
      <c r="L634" s="138"/>
      <c r="M634" s="139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32"/>
      <c r="AE634" s="140"/>
      <c r="AF634" s="140"/>
      <c r="AG634" s="140"/>
      <c r="AH634" s="140"/>
      <c r="AI634" s="140"/>
      <c r="AJ634" s="141"/>
      <c r="AK634" s="140"/>
      <c r="AL634" s="140"/>
      <c r="AM634" s="140"/>
      <c r="AN634" s="140"/>
      <c r="AO634" s="140"/>
      <c r="AP634" s="140"/>
      <c r="AQ634" s="138"/>
      <c r="AR634" s="140"/>
      <c r="AS634" s="140"/>
      <c r="AT634" s="140"/>
      <c r="AU634" s="140"/>
      <c r="AV634" s="138"/>
      <c r="AW634" s="138"/>
      <c r="AX634" s="140"/>
      <c r="AY634" s="140"/>
      <c r="AZ634" s="140"/>
      <c r="BA634" s="140"/>
      <c r="BB634" s="140"/>
      <c r="BC634" s="140"/>
    </row>
    <row r="635" ht="15.75" customHeight="1">
      <c r="C635" s="137"/>
      <c r="D635" s="138"/>
      <c r="E635" s="138"/>
      <c r="F635" s="138"/>
      <c r="J635" s="138"/>
      <c r="K635" s="138"/>
      <c r="L635" s="138"/>
      <c r="M635" s="139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32"/>
      <c r="AE635" s="140"/>
      <c r="AF635" s="140"/>
      <c r="AG635" s="140"/>
      <c r="AH635" s="140"/>
      <c r="AI635" s="140"/>
      <c r="AJ635" s="141"/>
      <c r="AK635" s="140"/>
      <c r="AL635" s="140"/>
      <c r="AM635" s="140"/>
      <c r="AN635" s="140"/>
      <c r="AO635" s="140"/>
      <c r="AP635" s="140"/>
      <c r="AQ635" s="138"/>
      <c r="AR635" s="140"/>
      <c r="AS635" s="140"/>
      <c r="AT635" s="140"/>
      <c r="AU635" s="140"/>
      <c r="AV635" s="138"/>
      <c r="AW635" s="138"/>
      <c r="AX635" s="140"/>
      <c r="AY635" s="140"/>
      <c r="AZ635" s="140"/>
      <c r="BA635" s="140"/>
      <c r="BB635" s="140"/>
      <c r="BC635" s="140"/>
    </row>
    <row r="636" ht="15.75" customHeight="1">
      <c r="C636" s="137"/>
      <c r="D636" s="138"/>
      <c r="E636" s="138"/>
      <c r="F636" s="138"/>
      <c r="J636" s="138"/>
      <c r="K636" s="138"/>
      <c r="L636" s="138"/>
      <c r="M636" s="139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32"/>
      <c r="AE636" s="140"/>
      <c r="AF636" s="140"/>
      <c r="AG636" s="140"/>
      <c r="AH636" s="140"/>
      <c r="AI636" s="140"/>
      <c r="AJ636" s="141"/>
      <c r="AK636" s="140"/>
      <c r="AL636" s="140"/>
      <c r="AM636" s="140"/>
      <c r="AN636" s="140"/>
      <c r="AO636" s="140"/>
      <c r="AP636" s="140"/>
      <c r="AQ636" s="138"/>
      <c r="AR636" s="140"/>
      <c r="AS636" s="140"/>
      <c r="AT636" s="140"/>
      <c r="AU636" s="140"/>
      <c r="AV636" s="138"/>
      <c r="AW636" s="138"/>
      <c r="AX636" s="140"/>
      <c r="AY636" s="140"/>
      <c r="AZ636" s="140"/>
      <c r="BA636" s="140"/>
      <c r="BB636" s="140"/>
      <c r="BC636" s="140"/>
    </row>
    <row r="637" ht="15.75" customHeight="1">
      <c r="C637" s="137"/>
      <c r="D637" s="138"/>
      <c r="E637" s="138"/>
      <c r="F637" s="138"/>
      <c r="J637" s="138"/>
      <c r="K637" s="138"/>
      <c r="L637" s="138"/>
      <c r="M637" s="139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32"/>
      <c r="AE637" s="140"/>
      <c r="AF637" s="140"/>
      <c r="AG637" s="140"/>
      <c r="AH637" s="140"/>
      <c r="AI637" s="140"/>
      <c r="AJ637" s="141"/>
      <c r="AK637" s="140"/>
      <c r="AL637" s="140"/>
      <c r="AM637" s="140"/>
      <c r="AN637" s="140"/>
      <c r="AO637" s="140"/>
      <c r="AP637" s="140"/>
      <c r="AQ637" s="138"/>
      <c r="AR637" s="140"/>
      <c r="AS637" s="140"/>
      <c r="AT637" s="140"/>
      <c r="AU637" s="140"/>
      <c r="AV637" s="138"/>
      <c r="AW637" s="138"/>
      <c r="AX637" s="140"/>
      <c r="AY637" s="140"/>
      <c r="AZ637" s="140"/>
      <c r="BA637" s="140"/>
      <c r="BB637" s="140"/>
      <c r="BC637" s="140"/>
    </row>
    <row r="638" ht="15.75" customHeight="1">
      <c r="C638" s="137"/>
      <c r="D638" s="138"/>
      <c r="E638" s="138"/>
      <c r="F638" s="138"/>
      <c r="J638" s="138"/>
      <c r="K638" s="138"/>
      <c r="L638" s="138"/>
      <c r="M638" s="139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32"/>
      <c r="AE638" s="140"/>
      <c r="AF638" s="140"/>
      <c r="AG638" s="140"/>
      <c r="AH638" s="140"/>
      <c r="AI638" s="140"/>
      <c r="AJ638" s="141"/>
      <c r="AK638" s="140"/>
      <c r="AL638" s="140"/>
      <c r="AM638" s="140"/>
      <c r="AN638" s="140"/>
      <c r="AO638" s="140"/>
      <c r="AP638" s="140"/>
      <c r="AQ638" s="138"/>
      <c r="AR638" s="140"/>
      <c r="AS638" s="140"/>
      <c r="AT638" s="140"/>
      <c r="AU638" s="140"/>
      <c r="AV638" s="138"/>
      <c r="AW638" s="138"/>
      <c r="AX638" s="140"/>
      <c r="AY638" s="140"/>
      <c r="AZ638" s="140"/>
      <c r="BA638" s="140"/>
      <c r="BB638" s="140"/>
      <c r="BC638" s="140"/>
    </row>
    <row r="639" ht="15.75" customHeight="1">
      <c r="C639" s="137"/>
      <c r="D639" s="138"/>
      <c r="E639" s="138"/>
      <c r="F639" s="138"/>
      <c r="J639" s="138"/>
      <c r="K639" s="138"/>
      <c r="L639" s="138"/>
      <c r="M639" s="139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32"/>
      <c r="AE639" s="140"/>
      <c r="AF639" s="140"/>
      <c r="AG639" s="140"/>
      <c r="AH639" s="140"/>
      <c r="AI639" s="140"/>
      <c r="AJ639" s="141"/>
      <c r="AK639" s="140"/>
      <c r="AL639" s="140"/>
      <c r="AM639" s="140"/>
      <c r="AN639" s="140"/>
      <c r="AO639" s="140"/>
      <c r="AP639" s="140"/>
      <c r="AQ639" s="138"/>
      <c r="AR639" s="140"/>
      <c r="AS639" s="140"/>
      <c r="AT639" s="140"/>
      <c r="AU639" s="140"/>
      <c r="AV639" s="138"/>
      <c r="AW639" s="138"/>
      <c r="AX639" s="140"/>
      <c r="AY639" s="140"/>
      <c r="AZ639" s="140"/>
      <c r="BA639" s="140"/>
      <c r="BB639" s="140"/>
      <c r="BC639" s="140"/>
    </row>
    <row r="640" ht="15.75" customHeight="1">
      <c r="C640" s="137"/>
      <c r="D640" s="138"/>
      <c r="E640" s="138"/>
      <c r="F640" s="138"/>
      <c r="J640" s="138"/>
      <c r="K640" s="138"/>
      <c r="L640" s="138"/>
      <c r="M640" s="139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32"/>
      <c r="AE640" s="140"/>
      <c r="AF640" s="140"/>
      <c r="AG640" s="140"/>
      <c r="AH640" s="140"/>
      <c r="AI640" s="140"/>
      <c r="AJ640" s="141"/>
      <c r="AK640" s="140"/>
      <c r="AL640" s="140"/>
      <c r="AM640" s="140"/>
      <c r="AN640" s="140"/>
      <c r="AO640" s="140"/>
      <c r="AP640" s="140"/>
      <c r="AQ640" s="138"/>
      <c r="AR640" s="140"/>
      <c r="AS640" s="140"/>
      <c r="AT640" s="140"/>
      <c r="AU640" s="140"/>
      <c r="AV640" s="138"/>
      <c r="AW640" s="138"/>
      <c r="AX640" s="140"/>
      <c r="AY640" s="140"/>
      <c r="AZ640" s="140"/>
      <c r="BA640" s="140"/>
      <c r="BB640" s="140"/>
      <c r="BC640" s="140"/>
    </row>
    <row r="641" ht="15.75" customHeight="1">
      <c r="C641" s="137"/>
      <c r="D641" s="138"/>
      <c r="E641" s="138"/>
      <c r="F641" s="138"/>
      <c r="J641" s="138"/>
      <c r="K641" s="138"/>
      <c r="L641" s="138"/>
      <c r="M641" s="139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32"/>
      <c r="AE641" s="140"/>
      <c r="AF641" s="140"/>
      <c r="AG641" s="140"/>
      <c r="AH641" s="140"/>
      <c r="AI641" s="140"/>
      <c r="AJ641" s="141"/>
      <c r="AK641" s="140"/>
      <c r="AL641" s="140"/>
      <c r="AM641" s="140"/>
      <c r="AN641" s="140"/>
      <c r="AO641" s="140"/>
      <c r="AP641" s="140"/>
      <c r="AQ641" s="138"/>
      <c r="AR641" s="140"/>
      <c r="AS641" s="140"/>
      <c r="AT641" s="140"/>
      <c r="AU641" s="140"/>
      <c r="AV641" s="138"/>
      <c r="AW641" s="138"/>
      <c r="AX641" s="140"/>
      <c r="AY641" s="140"/>
      <c r="AZ641" s="140"/>
      <c r="BA641" s="140"/>
      <c r="BB641" s="140"/>
      <c r="BC641" s="140"/>
    </row>
    <row r="642" ht="15.75" customHeight="1">
      <c r="C642" s="137"/>
      <c r="D642" s="138"/>
      <c r="E642" s="138"/>
      <c r="F642" s="138"/>
      <c r="J642" s="138"/>
      <c r="K642" s="138"/>
      <c r="L642" s="138"/>
      <c r="M642" s="139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32"/>
      <c r="AE642" s="140"/>
      <c r="AF642" s="140"/>
      <c r="AG642" s="140"/>
      <c r="AH642" s="140"/>
      <c r="AI642" s="140"/>
      <c r="AJ642" s="141"/>
      <c r="AK642" s="140"/>
      <c r="AL642" s="140"/>
      <c r="AM642" s="140"/>
      <c r="AN642" s="140"/>
      <c r="AO642" s="140"/>
      <c r="AP642" s="140"/>
      <c r="AQ642" s="138"/>
      <c r="AR642" s="140"/>
      <c r="AS642" s="140"/>
      <c r="AT642" s="140"/>
      <c r="AU642" s="140"/>
      <c r="AV642" s="138"/>
      <c r="AW642" s="138"/>
      <c r="AX642" s="140"/>
      <c r="AY642" s="140"/>
      <c r="AZ642" s="140"/>
      <c r="BA642" s="140"/>
      <c r="BB642" s="140"/>
      <c r="BC642" s="140"/>
    </row>
    <row r="643" ht="15.75" customHeight="1">
      <c r="C643" s="137"/>
      <c r="D643" s="138"/>
      <c r="E643" s="138"/>
      <c r="F643" s="138"/>
      <c r="J643" s="138"/>
      <c r="K643" s="138"/>
      <c r="L643" s="138"/>
      <c r="M643" s="139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32"/>
      <c r="AE643" s="140"/>
      <c r="AF643" s="140"/>
      <c r="AG643" s="140"/>
      <c r="AH643" s="140"/>
      <c r="AI643" s="140"/>
      <c r="AJ643" s="141"/>
      <c r="AK643" s="140"/>
      <c r="AL643" s="140"/>
      <c r="AM643" s="140"/>
      <c r="AN643" s="140"/>
      <c r="AO643" s="140"/>
      <c r="AP643" s="140"/>
      <c r="AQ643" s="138"/>
      <c r="AR643" s="140"/>
      <c r="AS643" s="140"/>
      <c r="AT643" s="140"/>
      <c r="AU643" s="140"/>
      <c r="AV643" s="138"/>
      <c r="AW643" s="138"/>
      <c r="AX643" s="140"/>
      <c r="AY643" s="140"/>
      <c r="AZ643" s="140"/>
      <c r="BA643" s="140"/>
      <c r="BB643" s="140"/>
      <c r="BC643" s="140"/>
    </row>
    <row r="644" ht="15.75" customHeight="1">
      <c r="C644" s="137"/>
      <c r="D644" s="138"/>
      <c r="E644" s="138"/>
      <c r="F644" s="138"/>
      <c r="J644" s="138"/>
      <c r="K644" s="138"/>
      <c r="L644" s="138"/>
      <c r="M644" s="139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32"/>
      <c r="AE644" s="140"/>
      <c r="AF644" s="140"/>
      <c r="AG644" s="140"/>
      <c r="AH644" s="140"/>
      <c r="AI644" s="140"/>
      <c r="AJ644" s="141"/>
      <c r="AK644" s="140"/>
      <c r="AL644" s="140"/>
      <c r="AM644" s="140"/>
      <c r="AN644" s="140"/>
      <c r="AO644" s="140"/>
      <c r="AP644" s="140"/>
      <c r="AQ644" s="138"/>
      <c r="AR644" s="140"/>
      <c r="AS644" s="140"/>
      <c r="AT644" s="140"/>
      <c r="AU644" s="140"/>
      <c r="AV644" s="138"/>
      <c r="AW644" s="138"/>
      <c r="AX644" s="140"/>
      <c r="AY644" s="140"/>
      <c r="AZ644" s="140"/>
      <c r="BA644" s="140"/>
      <c r="BB644" s="140"/>
      <c r="BC644" s="140"/>
    </row>
    <row r="645" ht="15.75" customHeight="1">
      <c r="C645" s="137"/>
      <c r="D645" s="138"/>
      <c r="E645" s="138"/>
      <c r="F645" s="138"/>
      <c r="J645" s="138"/>
      <c r="K645" s="138"/>
      <c r="L645" s="138"/>
      <c r="M645" s="139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32"/>
      <c r="AE645" s="140"/>
      <c r="AF645" s="140"/>
      <c r="AG645" s="140"/>
      <c r="AH645" s="140"/>
      <c r="AI645" s="140"/>
      <c r="AJ645" s="141"/>
      <c r="AK645" s="140"/>
      <c r="AL645" s="140"/>
      <c r="AM645" s="140"/>
      <c r="AN645" s="140"/>
      <c r="AO645" s="140"/>
      <c r="AP645" s="140"/>
      <c r="AQ645" s="138"/>
      <c r="AR645" s="140"/>
      <c r="AS645" s="140"/>
      <c r="AT645" s="140"/>
      <c r="AU645" s="140"/>
      <c r="AV645" s="138"/>
      <c r="AW645" s="138"/>
      <c r="AX645" s="140"/>
      <c r="AY645" s="140"/>
      <c r="AZ645" s="140"/>
      <c r="BA645" s="140"/>
      <c r="BB645" s="140"/>
      <c r="BC645" s="140"/>
    </row>
    <row r="646" ht="15.75" customHeight="1">
      <c r="C646" s="137"/>
      <c r="D646" s="138"/>
      <c r="E646" s="138"/>
      <c r="F646" s="138"/>
      <c r="J646" s="138"/>
      <c r="K646" s="138"/>
      <c r="L646" s="138"/>
      <c r="M646" s="139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32"/>
      <c r="AE646" s="140"/>
      <c r="AF646" s="140"/>
      <c r="AG646" s="140"/>
      <c r="AH646" s="140"/>
      <c r="AI646" s="140"/>
      <c r="AJ646" s="141"/>
      <c r="AK646" s="140"/>
      <c r="AL646" s="140"/>
      <c r="AM646" s="140"/>
      <c r="AN646" s="140"/>
      <c r="AO646" s="140"/>
      <c r="AP646" s="140"/>
      <c r="AQ646" s="138"/>
      <c r="AR646" s="140"/>
      <c r="AS646" s="140"/>
      <c r="AT646" s="140"/>
      <c r="AU646" s="140"/>
      <c r="AV646" s="138"/>
      <c r="AW646" s="138"/>
      <c r="AX646" s="140"/>
      <c r="AY646" s="140"/>
      <c r="AZ646" s="140"/>
      <c r="BA646" s="140"/>
      <c r="BB646" s="140"/>
      <c r="BC646" s="140"/>
    </row>
    <row r="647" ht="15.75" customHeight="1">
      <c r="C647" s="137"/>
      <c r="D647" s="138"/>
      <c r="E647" s="138"/>
      <c r="F647" s="138"/>
      <c r="J647" s="138"/>
      <c r="K647" s="138"/>
      <c r="L647" s="138"/>
      <c r="M647" s="139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32"/>
      <c r="AE647" s="140"/>
      <c r="AF647" s="140"/>
      <c r="AG647" s="140"/>
      <c r="AH647" s="140"/>
      <c r="AI647" s="140"/>
      <c r="AJ647" s="141"/>
      <c r="AK647" s="140"/>
      <c r="AL647" s="140"/>
      <c r="AM647" s="140"/>
      <c r="AN647" s="140"/>
      <c r="AO647" s="140"/>
      <c r="AP647" s="140"/>
      <c r="AQ647" s="138"/>
      <c r="AR647" s="140"/>
      <c r="AS647" s="140"/>
      <c r="AT647" s="140"/>
      <c r="AU647" s="140"/>
      <c r="AV647" s="138"/>
      <c r="AW647" s="138"/>
      <c r="AX647" s="140"/>
      <c r="AY647" s="140"/>
      <c r="AZ647" s="140"/>
      <c r="BA647" s="140"/>
      <c r="BB647" s="140"/>
      <c r="BC647" s="140"/>
    </row>
    <row r="648" ht="15.75" customHeight="1">
      <c r="C648" s="137"/>
      <c r="D648" s="138"/>
      <c r="E648" s="138"/>
      <c r="F648" s="138"/>
      <c r="J648" s="138"/>
      <c r="K648" s="138"/>
      <c r="L648" s="138"/>
      <c r="M648" s="139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32"/>
      <c r="AE648" s="140"/>
      <c r="AF648" s="140"/>
      <c r="AG648" s="140"/>
      <c r="AH648" s="140"/>
      <c r="AI648" s="140"/>
      <c r="AJ648" s="141"/>
      <c r="AK648" s="140"/>
      <c r="AL648" s="140"/>
      <c r="AM648" s="140"/>
      <c r="AN648" s="140"/>
      <c r="AO648" s="140"/>
      <c r="AP648" s="140"/>
      <c r="AQ648" s="138"/>
      <c r="AR648" s="140"/>
      <c r="AS648" s="140"/>
      <c r="AT648" s="140"/>
      <c r="AU648" s="140"/>
      <c r="AV648" s="138"/>
      <c r="AW648" s="138"/>
      <c r="AX648" s="140"/>
      <c r="AY648" s="140"/>
      <c r="AZ648" s="140"/>
      <c r="BA648" s="140"/>
      <c r="BB648" s="140"/>
      <c r="BC648" s="140"/>
    </row>
    <row r="649" ht="15.75" customHeight="1">
      <c r="C649" s="137"/>
      <c r="D649" s="138"/>
      <c r="E649" s="138"/>
      <c r="F649" s="138"/>
      <c r="J649" s="138"/>
      <c r="K649" s="138"/>
      <c r="L649" s="138"/>
      <c r="M649" s="139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32"/>
      <c r="AE649" s="140"/>
      <c r="AF649" s="140"/>
      <c r="AG649" s="140"/>
      <c r="AH649" s="140"/>
      <c r="AI649" s="140"/>
      <c r="AJ649" s="141"/>
      <c r="AK649" s="140"/>
      <c r="AL649" s="140"/>
      <c r="AM649" s="140"/>
      <c r="AN649" s="140"/>
      <c r="AO649" s="140"/>
      <c r="AP649" s="140"/>
      <c r="AQ649" s="138"/>
      <c r="AR649" s="140"/>
      <c r="AS649" s="140"/>
      <c r="AT649" s="140"/>
      <c r="AU649" s="140"/>
      <c r="AV649" s="138"/>
      <c r="AW649" s="138"/>
      <c r="AX649" s="140"/>
      <c r="AY649" s="140"/>
      <c r="AZ649" s="140"/>
      <c r="BA649" s="140"/>
      <c r="BB649" s="140"/>
      <c r="BC649" s="140"/>
    </row>
    <row r="650" ht="15.75" customHeight="1">
      <c r="C650" s="137"/>
      <c r="D650" s="138"/>
      <c r="E650" s="138"/>
      <c r="F650" s="138"/>
      <c r="J650" s="138"/>
      <c r="K650" s="138"/>
      <c r="L650" s="138"/>
      <c r="M650" s="139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32"/>
      <c r="AE650" s="140"/>
      <c r="AF650" s="140"/>
      <c r="AG650" s="140"/>
      <c r="AH650" s="140"/>
      <c r="AI650" s="140"/>
      <c r="AJ650" s="141"/>
      <c r="AK650" s="140"/>
      <c r="AL650" s="140"/>
      <c r="AM650" s="140"/>
      <c r="AN650" s="140"/>
      <c r="AO650" s="140"/>
      <c r="AP650" s="140"/>
      <c r="AQ650" s="138"/>
      <c r="AR650" s="140"/>
      <c r="AS650" s="140"/>
      <c r="AT650" s="140"/>
      <c r="AU650" s="140"/>
      <c r="AV650" s="138"/>
      <c r="AW650" s="138"/>
      <c r="AX650" s="140"/>
      <c r="AY650" s="140"/>
      <c r="AZ650" s="140"/>
      <c r="BA650" s="140"/>
      <c r="BB650" s="140"/>
      <c r="BC650" s="140"/>
    </row>
    <row r="651" ht="15.75" customHeight="1">
      <c r="C651" s="137"/>
      <c r="D651" s="138"/>
      <c r="E651" s="138"/>
      <c r="F651" s="138"/>
      <c r="J651" s="138"/>
      <c r="K651" s="138"/>
      <c r="L651" s="138"/>
      <c r="M651" s="139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32"/>
      <c r="AE651" s="140"/>
      <c r="AF651" s="140"/>
      <c r="AG651" s="140"/>
      <c r="AH651" s="140"/>
      <c r="AI651" s="140"/>
      <c r="AJ651" s="141"/>
      <c r="AK651" s="140"/>
      <c r="AL651" s="140"/>
      <c r="AM651" s="140"/>
      <c r="AN651" s="140"/>
      <c r="AO651" s="140"/>
      <c r="AP651" s="140"/>
      <c r="AQ651" s="138"/>
      <c r="AR651" s="140"/>
      <c r="AS651" s="140"/>
      <c r="AT651" s="140"/>
      <c r="AU651" s="140"/>
      <c r="AV651" s="138"/>
      <c r="AW651" s="138"/>
      <c r="AX651" s="140"/>
      <c r="AY651" s="140"/>
      <c r="AZ651" s="140"/>
      <c r="BA651" s="140"/>
      <c r="BB651" s="140"/>
      <c r="BC651" s="140"/>
    </row>
    <row r="652" ht="15.75" customHeight="1">
      <c r="C652" s="137"/>
      <c r="D652" s="138"/>
      <c r="E652" s="138"/>
      <c r="F652" s="138"/>
      <c r="J652" s="138"/>
      <c r="K652" s="138"/>
      <c r="L652" s="138"/>
      <c r="M652" s="139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32"/>
      <c r="AE652" s="140"/>
      <c r="AF652" s="140"/>
      <c r="AG652" s="140"/>
      <c r="AH652" s="140"/>
      <c r="AI652" s="140"/>
      <c r="AJ652" s="141"/>
      <c r="AK652" s="140"/>
      <c r="AL652" s="140"/>
      <c r="AM652" s="140"/>
      <c r="AN652" s="140"/>
      <c r="AO652" s="140"/>
      <c r="AP652" s="140"/>
      <c r="AQ652" s="138"/>
      <c r="AR652" s="140"/>
      <c r="AS652" s="140"/>
      <c r="AT652" s="140"/>
      <c r="AU652" s="140"/>
      <c r="AV652" s="138"/>
      <c r="AW652" s="138"/>
      <c r="AX652" s="140"/>
      <c r="AY652" s="140"/>
      <c r="AZ652" s="140"/>
      <c r="BA652" s="140"/>
      <c r="BB652" s="140"/>
      <c r="BC652" s="140"/>
    </row>
    <row r="653" ht="15.75" customHeight="1">
      <c r="C653" s="137"/>
      <c r="D653" s="138"/>
      <c r="E653" s="138"/>
      <c r="F653" s="138"/>
      <c r="J653" s="138"/>
      <c r="K653" s="138"/>
      <c r="L653" s="138"/>
      <c r="M653" s="139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32"/>
      <c r="AE653" s="140"/>
      <c r="AF653" s="140"/>
      <c r="AG653" s="140"/>
      <c r="AH653" s="140"/>
      <c r="AI653" s="140"/>
      <c r="AJ653" s="141"/>
      <c r="AK653" s="140"/>
      <c r="AL653" s="140"/>
      <c r="AM653" s="140"/>
      <c r="AN653" s="140"/>
      <c r="AO653" s="140"/>
      <c r="AP653" s="140"/>
      <c r="AQ653" s="138"/>
      <c r="AR653" s="140"/>
      <c r="AS653" s="140"/>
      <c r="AT653" s="140"/>
      <c r="AU653" s="140"/>
      <c r="AV653" s="138"/>
      <c r="AW653" s="138"/>
      <c r="AX653" s="140"/>
      <c r="AY653" s="140"/>
      <c r="AZ653" s="140"/>
      <c r="BA653" s="140"/>
      <c r="BB653" s="140"/>
      <c r="BC653" s="140"/>
    </row>
    <row r="654" ht="15.75" customHeight="1">
      <c r="C654" s="137"/>
      <c r="D654" s="138"/>
      <c r="E654" s="138"/>
      <c r="F654" s="138"/>
      <c r="J654" s="138"/>
      <c r="K654" s="138"/>
      <c r="L654" s="138"/>
      <c r="M654" s="139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32"/>
      <c r="AE654" s="140"/>
      <c r="AF654" s="140"/>
      <c r="AG654" s="140"/>
      <c r="AH654" s="140"/>
      <c r="AI654" s="140"/>
      <c r="AJ654" s="141"/>
      <c r="AK654" s="140"/>
      <c r="AL654" s="140"/>
      <c r="AM654" s="140"/>
      <c r="AN654" s="140"/>
      <c r="AO654" s="140"/>
      <c r="AP654" s="140"/>
      <c r="AQ654" s="138"/>
      <c r="AR654" s="140"/>
      <c r="AS654" s="140"/>
      <c r="AT654" s="140"/>
      <c r="AU654" s="140"/>
      <c r="AV654" s="138"/>
      <c r="AW654" s="138"/>
      <c r="AX654" s="140"/>
      <c r="AY654" s="140"/>
      <c r="AZ654" s="140"/>
      <c r="BA654" s="140"/>
      <c r="BB654" s="140"/>
      <c r="BC654" s="140"/>
    </row>
    <row r="655" ht="15.75" customHeight="1">
      <c r="C655" s="137"/>
      <c r="D655" s="138"/>
      <c r="E655" s="138"/>
      <c r="F655" s="138"/>
      <c r="J655" s="138"/>
      <c r="K655" s="138"/>
      <c r="L655" s="138"/>
      <c r="M655" s="139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32"/>
      <c r="AE655" s="140"/>
      <c r="AF655" s="140"/>
      <c r="AG655" s="140"/>
      <c r="AH655" s="140"/>
      <c r="AI655" s="140"/>
      <c r="AJ655" s="141"/>
      <c r="AK655" s="140"/>
      <c r="AL655" s="140"/>
      <c r="AM655" s="140"/>
      <c r="AN655" s="140"/>
      <c r="AO655" s="140"/>
      <c r="AP655" s="140"/>
      <c r="AQ655" s="138"/>
      <c r="AR655" s="140"/>
      <c r="AS655" s="140"/>
      <c r="AT655" s="140"/>
      <c r="AU655" s="140"/>
      <c r="AV655" s="138"/>
      <c r="AW655" s="138"/>
      <c r="AX655" s="140"/>
      <c r="AY655" s="140"/>
      <c r="AZ655" s="140"/>
      <c r="BA655" s="140"/>
      <c r="BB655" s="140"/>
      <c r="BC655" s="140"/>
    </row>
    <row r="656" ht="15.75" customHeight="1">
      <c r="C656" s="137"/>
      <c r="D656" s="138"/>
      <c r="E656" s="138"/>
      <c r="F656" s="138"/>
      <c r="J656" s="138"/>
      <c r="K656" s="138"/>
      <c r="L656" s="138"/>
      <c r="M656" s="139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32"/>
      <c r="AE656" s="140"/>
      <c r="AF656" s="140"/>
      <c r="AG656" s="140"/>
      <c r="AH656" s="140"/>
      <c r="AI656" s="140"/>
      <c r="AJ656" s="141"/>
      <c r="AK656" s="140"/>
      <c r="AL656" s="140"/>
      <c r="AM656" s="140"/>
      <c r="AN656" s="140"/>
      <c r="AO656" s="140"/>
      <c r="AP656" s="140"/>
      <c r="AQ656" s="138"/>
      <c r="AR656" s="140"/>
      <c r="AS656" s="140"/>
      <c r="AT656" s="140"/>
      <c r="AU656" s="140"/>
      <c r="AV656" s="138"/>
      <c r="AW656" s="138"/>
      <c r="AX656" s="140"/>
      <c r="AY656" s="140"/>
      <c r="AZ656" s="140"/>
      <c r="BA656" s="140"/>
      <c r="BB656" s="140"/>
      <c r="BC656" s="140"/>
    </row>
    <row r="657" ht="15.75" customHeight="1">
      <c r="C657" s="137"/>
      <c r="D657" s="138"/>
      <c r="E657" s="138"/>
      <c r="F657" s="138"/>
      <c r="J657" s="138"/>
      <c r="K657" s="138"/>
      <c r="L657" s="138"/>
      <c r="M657" s="139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32"/>
      <c r="AE657" s="140"/>
      <c r="AF657" s="140"/>
      <c r="AG657" s="140"/>
      <c r="AH657" s="140"/>
      <c r="AI657" s="140"/>
      <c r="AJ657" s="141"/>
      <c r="AK657" s="140"/>
      <c r="AL657" s="140"/>
      <c r="AM657" s="140"/>
      <c r="AN657" s="140"/>
      <c r="AO657" s="140"/>
      <c r="AP657" s="140"/>
      <c r="AQ657" s="138"/>
      <c r="AR657" s="140"/>
      <c r="AS657" s="140"/>
      <c r="AT657" s="140"/>
      <c r="AU657" s="140"/>
      <c r="AV657" s="138"/>
      <c r="AW657" s="138"/>
      <c r="AX657" s="140"/>
      <c r="AY657" s="140"/>
      <c r="AZ657" s="140"/>
      <c r="BA657" s="140"/>
      <c r="BB657" s="140"/>
      <c r="BC657" s="140"/>
    </row>
    <row r="658" ht="15.75" customHeight="1">
      <c r="C658" s="137"/>
      <c r="D658" s="138"/>
      <c r="E658" s="138"/>
      <c r="F658" s="138"/>
      <c r="J658" s="138"/>
      <c r="K658" s="138"/>
      <c r="L658" s="138"/>
      <c r="M658" s="139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32"/>
      <c r="AE658" s="140"/>
      <c r="AF658" s="140"/>
      <c r="AG658" s="140"/>
      <c r="AH658" s="140"/>
      <c r="AI658" s="140"/>
      <c r="AJ658" s="141"/>
      <c r="AK658" s="140"/>
      <c r="AL658" s="140"/>
      <c r="AM658" s="140"/>
      <c r="AN658" s="140"/>
      <c r="AO658" s="140"/>
      <c r="AP658" s="140"/>
      <c r="AQ658" s="138"/>
      <c r="AR658" s="140"/>
      <c r="AS658" s="140"/>
      <c r="AT658" s="140"/>
      <c r="AU658" s="140"/>
      <c r="AV658" s="138"/>
      <c r="AW658" s="138"/>
      <c r="AX658" s="140"/>
      <c r="AY658" s="140"/>
      <c r="AZ658" s="140"/>
      <c r="BA658" s="140"/>
      <c r="BB658" s="140"/>
      <c r="BC658" s="140"/>
    </row>
    <row r="659" ht="15.75" customHeight="1">
      <c r="C659" s="137"/>
      <c r="D659" s="138"/>
      <c r="E659" s="138"/>
      <c r="F659" s="138"/>
      <c r="J659" s="138"/>
      <c r="K659" s="138"/>
      <c r="L659" s="138"/>
      <c r="M659" s="139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32"/>
      <c r="AE659" s="140"/>
      <c r="AF659" s="140"/>
      <c r="AG659" s="140"/>
      <c r="AH659" s="140"/>
      <c r="AI659" s="140"/>
      <c r="AJ659" s="141"/>
      <c r="AK659" s="140"/>
      <c r="AL659" s="140"/>
      <c r="AM659" s="140"/>
      <c r="AN659" s="140"/>
      <c r="AO659" s="140"/>
      <c r="AP659" s="140"/>
      <c r="AQ659" s="138"/>
      <c r="AR659" s="140"/>
      <c r="AS659" s="140"/>
      <c r="AT659" s="140"/>
      <c r="AU659" s="140"/>
      <c r="AV659" s="138"/>
      <c r="AW659" s="138"/>
      <c r="AX659" s="140"/>
      <c r="AY659" s="140"/>
      <c r="AZ659" s="140"/>
      <c r="BA659" s="140"/>
      <c r="BB659" s="140"/>
      <c r="BC659" s="140"/>
    </row>
    <row r="660" ht="15.75" customHeight="1">
      <c r="C660" s="137"/>
      <c r="D660" s="138"/>
      <c r="E660" s="138"/>
      <c r="F660" s="138"/>
      <c r="J660" s="138"/>
      <c r="K660" s="138"/>
      <c r="L660" s="138"/>
      <c r="M660" s="139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32"/>
      <c r="AE660" s="140"/>
      <c r="AF660" s="140"/>
      <c r="AG660" s="140"/>
      <c r="AH660" s="140"/>
      <c r="AI660" s="140"/>
      <c r="AJ660" s="141"/>
      <c r="AK660" s="140"/>
      <c r="AL660" s="140"/>
      <c r="AM660" s="140"/>
      <c r="AN660" s="140"/>
      <c r="AO660" s="140"/>
      <c r="AP660" s="140"/>
      <c r="AQ660" s="138"/>
      <c r="AR660" s="140"/>
      <c r="AS660" s="140"/>
      <c r="AT660" s="140"/>
      <c r="AU660" s="140"/>
      <c r="AV660" s="138"/>
      <c r="AW660" s="138"/>
      <c r="AX660" s="140"/>
      <c r="AY660" s="140"/>
      <c r="AZ660" s="140"/>
      <c r="BA660" s="140"/>
      <c r="BB660" s="140"/>
      <c r="BC660" s="140"/>
    </row>
    <row r="661" ht="15.75" customHeight="1">
      <c r="C661" s="137"/>
      <c r="D661" s="138"/>
      <c r="E661" s="138"/>
      <c r="F661" s="138"/>
      <c r="J661" s="138"/>
      <c r="K661" s="138"/>
      <c r="L661" s="138"/>
      <c r="M661" s="139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32"/>
      <c r="AE661" s="140"/>
      <c r="AF661" s="140"/>
      <c r="AG661" s="140"/>
      <c r="AH661" s="140"/>
      <c r="AI661" s="140"/>
      <c r="AJ661" s="141"/>
      <c r="AK661" s="140"/>
      <c r="AL661" s="140"/>
      <c r="AM661" s="140"/>
      <c r="AN661" s="140"/>
      <c r="AO661" s="140"/>
      <c r="AP661" s="140"/>
      <c r="AQ661" s="138"/>
      <c r="AR661" s="140"/>
      <c r="AS661" s="140"/>
      <c r="AT661" s="140"/>
      <c r="AU661" s="140"/>
      <c r="AV661" s="138"/>
      <c r="AW661" s="138"/>
      <c r="AX661" s="140"/>
      <c r="AY661" s="140"/>
      <c r="AZ661" s="140"/>
      <c r="BA661" s="140"/>
      <c r="BB661" s="140"/>
      <c r="BC661" s="140"/>
    </row>
    <row r="662" ht="15.75" customHeight="1">
      <c r="C662" s="137"/>
      <c r="D662" s="138"/>
      <c r="E662" s="138"/>
      <c r="F662" s="138"/>
      <c r="J662" s="138"/>
      <c r="K662" s="138"/>
      <c r="L662" s="138"/>
      <c r="M662" s="139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32"/>
      <c r="AE662" s="140"/>
      <c r="AF662" s="140"/>
      <c r="AG662" s="140"/>
      <c r="AH662" s="140"/>
      <c r="AI662" s="140"/>
      <c r="AJ662" s="141"/>
      <c r="AK662" s="140"/>
      <c r="AL662" s="140"/>
      <c r="AM662" s="140"/>
      <c r="AN662" s="140"/>
      <c r="AO662" s="140"/>
      <c r="AP662" s="140"/>
      <c r="AQ662" s="138"/>
      <c r="AR662" s="140"/>
      <c r="AS662" s="140"/>
      <c r="AT662" s="140"/>
      <c r="AU662" s="140"/>
      <c r="AV662" s="138"/>
      <c r="AW662" s="138"/>
      <c r="AX662" s="140"/>
      <c r="AY662" s="140"/>
      <c r="AZ662" s="140"/>
      <c r="BA662" s="140"/>
      <c r="BB662" s="140"/>
      <c r="BC662" s="140"/>
    </row>
    <row r="663" ht="15.75" customHeight="1">
      <c r="C663" s="137"/>
      <c r="D663" s="138"/>
      <c r="E663" s="138"/>
      <c r="F663" s="138"/>
      <c r="J663" s="138"/>
      <c r="K663" s="138"/>
      <c r="L663" s="138"/>
      <c r="M663" s="139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32"/>
      <c r="AE663" s="140"/>
      <c r="AF663" s="140"/>
      <c r="AG663" s="140"/>
      <c r="AH663" s="140"/>
      <c r="AI663" s="140"/>
      <c r="AJ663" s="141"/>
      <c r="AK663" s="140"/>
      <c r="AL663" s="140"/>
      <c r="AM663" s="140"/>
      <c r="AN663" s="140"/>
      <c r="AO663" s="140"/>
      <c r="AP663" s="140"/>
      <c r="AQ663" s="138"/>
      <c r="AR663" s="140"/>
      <c r="AS663" s="140"/>
      <c r="AT663" s="140"/>
      <c r="AU663" s="140"/>
      <c r="AV663" s="138"/>
      <c r="AW663" s="138"/>
      <c r="AX663" s="140"/>
      <c r="AY663" s="140"/>
      <c r="AZ663" s="140"/>
      <c r="BA663" s="140"/>
      <c r="BB663" s="140"/>
      <c r="BC663" s="140"/>
    </row>
    <row r="664" ht="15.75" customHeight="1">
      <c r="C664" s="137"/>
      <c r="D664" s="138"/>
      <c r="E664" s="138"/>
      <c r="F664" s="138"/>
      <c r="J664" s="138"/>
      <c r="K664" s="138"/>
      <c r="L664" s="138"/>
      <c r="M664" s="139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32"/>
      <c r="AE664" s="140"/>
      <c r="AF664" s="140"/>
      <c r="AG664" s="140"/>
      <c r="AH664" s="140"/>
      <c r="AI664" s="140"/>
      <c r="AJ664" s="141"/>
      <c r="AK664" s="140"/>
      <c r="AL664" s="140"/>
      <c r="AM664" s="140"/>
      <c r="AN664" s="140"/>
      <c r="AO664" s="140"/>
      <c r="AP664" s="140"/>
      <c r="AQ664" s="138"/>
      <c r="AR664" s="140"/>
      <c r="AS664" s="140"/>
      <c r="AT664" s="140"/>
      <c r="AU664" s="140"/>
      <c r="AV664" s="138"/>
      <c r="AW664" s="138"/>
      <c r="AX664" s="140"/>
      <c r="AY664" s="140"/>
      <c r="AZ664" s="140"/>
      <c r="BA664" s="140"/>
      <c r="BB664" s="140"/>
      <c r="BC664" s="140"/>
    </row>
    <row r="665" ht="15.75" customHeight="1">
      <c r="C665" s="137"/>
      <c r="D665" s="138"/>
      <c r="E665" s="138"/>
      <c r="F665" s="138"/>
      <c r="J665" s="138"/>
      <c r="K665" s="138"/>
      <c r="L665" s="138"/>
      <c r="M665" s="139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32"/>
      <c r="AE665" s="140"/>
      <c r="AF665" s="140"/>
      <c r="AG665" s="140"/>
      <c r="AH665" s="140"/>
      <c r="AI665" s="140"/>
      <c r="AJ665" s="141"/>
      <c r="AK665" s="140"/>
      <c r="AL665" s="140"/>
      <c r="AM665" s="140"/>
      <c r="AN665" s="140"/>
      <c r="AO665" s="140"/>
      <c r="AP665" s="140"/>
      <c r="AQ665" s="138"/>
      <c r="AR665" s="140"/>
      <c r="AS665" s="140"/>
      <c r="AT665" s="140"/>
      <c r="AU665" s="140"/>
      <c r="AV665" s="138"/>
      <c r="AW665" s="138"/>
      <c r="AX665" s="140"/>
      <c r="AY665" s="140"/>
      <c r="AZ665" s="140"/>
      <c r="BA665" s="140"/>
      <c r="BB665" s="140"/>
      <c r="BC665" s="140"/>
    </row>
    <row r="666" ht="15.75" customHeight="1">
      <c r="C666" s="137"/>
      <c r="D666" s="138"/>
      <c r="E666" s="138"/>
      <c r="F666" s="138"/>
      <c r="J666" s="138"/>
      <c r="K666" s="138"/>
      <c r="L666" s="138"/>
      <c r="M666" s="139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32"/>
      <c r="AE666" s="140"/>
      <c r="AF666" s="140"/>
      <c r="AG666" s="140"/>
      <c r="AH666" s="140"/>
      <c r="AI666" s="140"/>
      <c r="AJ666" s="141"/>
      <c r="AK666" s="140"/>
      <c r="AL666" s="140"/>
      <c r="AM666" s="140"/>
      <c r="AN666" s="140"/>
      <c r="AO666" s="140"/>
      <c r="AP666" s="140"/>
      <c r="AQ666" s="138"/>
      <c r="AR666" s="140"/>
      <c r="AS666" s="140"/>
      <c r="AT666" s="140"/>
      <c r="AU666" s="140"/>
      <c r="AV666" s="138"/>
      <c r="AW666" s="138"/>
      <c r="AX666" s="140"/>
      <c r="AY666" s="140"/>
      <c r="AZ666" s="140"/>
      <c r="BA666" s="140"/>
      <c r="BB666" s="140"/>
      <c r="BC666" s="140"/>
    </row>
    <row r="667" ht="15.75" customHeight="1">
      <c r="C667" s="137"/>
      <c r="D667" s="138"/>
      <c r="E667" s="138"/>
      <c r="F667" s="138"/>
      <c r="J667" s="138"/>
      <c r="K667" s="138"/>
      <c r="L667" s="138"/>
      <c r="M667" s="139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32"/>
      <c r="AE667" s="140"/>
      <c r="AF667" s="140"/>
      <c r="AG667" s="140"/>
      <c r="AH667" s="140"/>
      <c r="AI667" s="140"/>
      <c r="AJ667" s="141"/>
      <c r="AK667" s="140"/>
      <c r="AL667" s="140"/>
      <c r="AM667" s="140"/>
      <c r="AN667" s="140"/>
      <c r="AO667" s="140"/>
      <c r="AP667" s="140"/>
      <c r="AQ667" s="138"/>
      <c r="AR667" s="140"/>
      <c r="AS667" s="140"/>
      <c r="AT667" s="140"/>
      <c r="AU667" s="140"/>
      <c r="AV667" s="138"/>
      <c r="AW667" s="138"/>
      <c r="AX667" s="140"/>
      <c r="AY667" s="140"/>
      <c r="AZ667" s="140"/>
      <c r="BA667" s="140"/>
      <c r="BB667" s="140"/>
      <c r="BC667" s="140"/>
    </row>
    <row r="668" ht="15.75" customHeight="1">
      <c r="C668" s="137"/>
      <c r="D668" s="138"/>
      <c r="E668" s="138"/>
      <c r="F668" s="138"/>
      <c r="J668" s="138"/>
      <c r="K668" s="138"/>
      <c r="L668" s="138"/>
      <c r="M668" s="139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32"/>
      <c r="AE668" s="140"/>
      <c r="AF668" s="140"/>
      <c r="AG668" s="140"/>
      <c r="AH668" s="140"/>
      <c r="AI668" s="140"/>
      <c r="AJ668" s="141"/>
      <c r="AK668" s="140"/>
      <c r="AL668" s="140"/>
      <c r="AM668" s="140"/>
      <c r="AN668" s="140"/>
      <c r="AO668" s="140"/>
      <c r="AP668" s="140"/>
      <c r="AQ668" s="138"/>
      <c r="AR668" s="140"/>
      <c r="AS668" s="140"/>
      <c r="AT668" s="140"/>
      <c r="AU668" s="140"/>
      <c r="AV668" s="138"/>
      <c r="AW668" s="138"/>
      <c r="AX668" s="140"/>
      <c r="AY668" s="140"/>
      <c r="AZ668" s="140"/>
      <c r="BA668" s="140"/>
      <c r="BB668" s="140"/>
      <c r="BC668" s="140"/>
    </row>
    <row r="669" ht="15.75" customHeight="1">
      <c r="C669" s="137"/>
      <c r="D669" s="138"/>
      <c r="E669" s="138"/>
      <c r="F669" s="138"/>
      <c r="J669" s="138"/>
      <c r="K669" s="138"/>
      <c r="L669" s="138"/>
      <c r="M669" s="139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32"/>
      <c r="AE669" s="140"/>
      <c r="AF669" s="140"/>
      <c r="AG669" s="140"/>
      <c r="AH669" s="140"/>
      <c r="AI669" s="140"/>
      <c r="AJ669" s="141"/>
      <c r="AK669" s="140"/>
      <c r="AL669" s="140"/>
      <c r="AM669" s="140"/>
      <c r="AN669" s="140"/>
      <c r="AO669" s="140"/>
      <c r="AP669" s="140"/>
      <c r="AQ669" s="138"/>
      <c r="AR669" s="140"/>
      <c r="AS669" s="140"/>
      <c r="AT669" s="140"/>
      <c r="AU669" s="140"/>
      <c r="AV669" s="138"/>
      <c r="AW669" s="138"/>
      <c r="AX669" s="140"/>
      <c r="AY669" s="140"/>
      <c r="AZ669" s="140"/>
      <c r="BA669" s="140"/>
      <c r="BB669" s="140"/>
      <c r="BC669" s="140"/>
    </row>
    <row r="670" ht="15.75" customHeight="1">
      <c r="C670" s="137"/>
      <c r="D670" s="138"/>
      <c r="E670" s="138"/>
      <c r="F670" s="138"/>
      <c r="J670" s="138"/>
      <c r="K670" s="138"/>
      <c r="L670" s="138"/>
      <c r="M670" s="139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32"/>
      <c r="AE670" s="140"/>
      <c r="AF670" s="140"/>
      <c r="AG670" s="140"/>
      <c r="AH670" s="140"/>
      <c r="AI670" s="140"/>
      <c r="AJ670" s="141"/>
      <c r="AK670" s="140"/>
      <c r="AL670" s="140"/>
      <c r="AM670" s="140"/>
      <c r="AN670" s="140"/>
      <c r="AO670" s="140"/>
      <c r="AP670" s="140"/>
      <c r="AQ670" s="138"/>
      <c r="AR670" s="140"/>
      <c r="AS670" s="140"/>
      <c r="AT670" s="140"/>
      <c r="AU670" s="140"/>
      <c r="AV670" s="138"/>
      <c r="AW670" s="138"/>
      <c r="AX670" s="140"/>
      <c r="AY670" s="140"/>
      <c r="AZ670" s="140"/>
      <c r="BA670" s="140"/>
      <c r="BB670" s="140"/>
      <c r="BC670" s="140"/>
    </row>
    <row r="671" ht="15.75" customHeight="1">
      <c r="C671" s="137"/>
      <c r="D671" s="138"/>
      <c r="E671" s="138"/>
      <c r="F671" s="138"/>
      <c r="J671" s="138"/>
      <c r="K671" s="138"/>
      <c r="L671" s="138"/>
      <c r="M671" s="139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32"/>
      <c r="AE671" s="140"/>
      <c r="AF671" s="140"/>
      <c r="AG671" s="140"/>
      <c r="AH671" s="140"/>
      <c r="AI671" s="140"/>
      <c r="AJ671" s="141"/>
      <c r="AK671" s="140"/>
      <c r="AL671" s="140"/>
      <c r="AM671" s="140"/>
      <c r="AN671" s="140"/>
      <c r="AO671" s="140"/>
      <c r="AP671" s="140"/>
      <c r="AQ671" s="138"/>
      <c r="AR671" s="140"/>
      <c r="AS671" s="140"/>
      <c r="AT671" s="140"/>
      <c r="AU671" s="140"/>
      <c r="AV671" s="138"/>
      <c r="AW671" s="138"/>
      <c r="AX671" s="140"/>
      <c r="AY671" s="140"/>
      <c r="AZ671" s="140"/>
      <c r="BA671" s="140"/>
      <c r="BB671" s="140"/>
      <c r="BC671" s="140"/>
    </row>
    <row r="672" ht="15.75" customHeight="1">
      <c r="C672" s="137"/>
      <c r="D672" s="138"/>
      <c r="E672" s="138"/>
      <c r="F672" s="138"/>
      <c r="J672" s="138"/>
      <c r="K672" s="138"/>
      <c r="L672" s="138"/>
      <c r="M672" s="139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32"/>
      <c r="AE672" s="140"/>
      <c r="AF672" s="140"/>
      <c r="AG672" s="140"/>
      <c r="AH672" s="140"/>
      <c r="AI672" s="140"/>
      <c r="AJ672" s="141"/>
      <c r="AK672" s="140"/>
      <c r="AL672" s="140"/>
      <c r="AM672" s="140"/>
      <c r="AN672" s="140"/>
      <c r="AO672" s="140"/>
      <c r="AP672" s="140"/>
      <c r="AQ672" s="138"/>
      <c r="AR672" s="140"/>
      <c r="AS672" s="140"/>
      <c r="AT672" s="140"/>
      <c r="AU672" s="140"/>
      <c r="AV672" s="138"/>
      <c r="AW672" s="138"/>
      <c r="AX672" s="140"/>
      <c r="AY672" s="140"/>
      <c r="AZ672" s="140"/>
      <c r="BA672" s="140"/>
      <c r="BB672" s="140"/>
      <c r="BC672" s="140"/>
    </row>
    <row r="673" ht="15.75" customHeight="1">
      <c r="C673" s="137"/>
      <c r="D673" s="138"/>
      <c r="E673" s="138"/>
      <c r="F673" s="138"/>
      <c r="J673" s="138"/>
      <c r="K673" s="138"/>
      <c r="L673" s="138"/>
      <c r="M673" s="139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32"/>
      <c r="AE673" s="140"/>
      <c r="AF673" s="140"/>
      <c r="AG673" s="140"/>
      <c r="AH673" s="140"/>
      <c r="AI673" s="140"/>
      <c r="AJ673" s="141"/>
      <c r="AK673" s="140"/>
      <c r="AL673" s="140"/>
      <c r="AM673" s="140"/>
      <c r="AN673" s="140"/>
      <c r="AO673" s="140"/>
      <c r="AP673" s="140"/>
      <c r="AQ673" s="138"/>
      <c r="AR673" s="140"/>
      <c r="AS673" s="140"/>
      <c r="AT673" s="140"/>
      <c r="AU673" s="140"/>
      <c r="AV673" s="138"/>
      <c r="AW673" s="138"/>
      <c r="AX673" s="140"/>
      <c r="AY673" s="140"/>
      <c r="AZ673" s="140"/>
      <c r="BA673" s="140"/>
      <c r="BB673" s="140"/>
      <c r="BC673" s="140"/>
    </row>
    <row r="674" ht="15.75" customHeight="1">
      <c r="C674" s="137"/>
      <c r="D674" s="138"/>
      <c r="E674" s="138"/>
      <c r="F674" s="138"/>
      <c r="J674" s="138"/>
      <c r="K674" s="138"/>
      <c r="L674" s="138"/>
      <c r="M674" s="139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32"/>
      <c r="AE674" s="140"/>
      <c r="AF674" s="140"/>
      <c r="AG674" s="140"/>
      <c r="AH674" s="140"/>
      <c r="AI674" s="140"/>
      <c r="AJ674" s="141"/>
      <c r="AK674" s="140"/>
      <c r="AL674" s="140"/>
      <c r="AM674" s="140"/>
      <c r="AN674" s="140"/>
      <c r="AO674" s="140"/>
      <c r="AP674" s="140"/>
      <c r="AQ674" s="138"/>
      <c r="AR674" s="140"/>
      <c r="AS674" s="140"/>
      <c r="AT674" s="140"/>
      <c r="AU674" s="140"/>
      <c r="AV674" s="138"/>
      <c r="AW674" s="138"/>
      <c r="AX674" s="140"/>
      <c r="AY674" s="140"/>
      <c r="AZ674" s="140"/>
      <c r="BA674" s="140"/>
      <c r="BB674" s="140"/>
      <c r="BC674" s="140"/>
    </row>
    <row r="675" ht="15.75" customHeight="1">
      <c r="C675" s="137"/>
      <c r="D675" s="138"/>
      <c r="E675" s="138"/>
      <c r="F675" s="138"/>
      <c r="J675" s="138"/>
      <c r="K675" s="138"/>
      <c r="L675" s="138"/>
      <c r="M675" s="139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32"/>
      <c r="AE675" s="140"/>
      <c r="AF675" s="140"/>
      <c r="AG675" s="140"/>
      <c r="AH675" s="140"/>
      <c r="AI675" s="140"/>
      <c r="AJ675" s="141"/>
      <c r="AK675" s="140"/>
      <c r="AL675" s="140"/>
      <c r="AM675" s="140"/>
      <c r="AN675" s="140"/>
      <c r="AO675" s="140"/>
      <c r="AP675" s="140"/>
      <c r="AQ675" s="138"/>
      <c r="AR675" s="140"/>
      <c r="AS675" s="140"/>
      <c r="AT675" s="140"/>
      <c r="AU675" s="140"/>
      <c r="AV675" s="138"/>
      <c r="AW675" s="138"/>
      <c r="AX675" s="140"/>
      <c r="AY675" s="140"/>
      <c r="AZ675" s="140"/>
      <c r="BA675" s="140"/>
      <c r="BB675" s="140"/>
      <c r="BC675" s="140"/>
    </row>
    <row r="676" ht="15.75" customHeight="1">
      <c r="C676" s="137"/>
      <c r="D676" s="138"/>
      <c r="E676" s="138"/>
      <c r="F676" s="138"/>
      <c r="J676" s="138"/>
      <c r="K676" s="138"/>
      <c r="L676" s="138"/>
      <c r="M676" s="139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32"/>
      <c r="AE676" s="140"/>
      <c r="AF676" s="140"/>
      <c r="AG676" s="140"/>
      <c r="AH676" s="140"/>
      <c r="AI676" s="140"/>
      <c r="AJ676" s="141"/>
      <c r="AK676" s="140"/>
      <c r="AL676" s="140"/>
      <c r="AM676" s="140"/>
      <c r="AN676" s="140"/>
      <c r="AO676" s="140"/>
      <c r="AP676" s="140"/>
      <c r="AQ676" s="138"/>
      <c r="AR676" s="140"/>
      <c r="AS676" s="140"/>
      <c r="AT676" s="140"/>
      <c r="AU676" s="140"/>
      <c r="AV676" s="138"/>
      <c r="AW676" s="138"/>
      <c r="AX676" s="140"/>
      <c r="AY676" s="140"/>
      <c r="AZ676" s="140"/>
      <c r="BA676" s="140"/>
      <c r="BB676" s="140"/>
      <c r="BC676" s="140"/>
    </row>
    <row r="677" ht="15.75" customHeight="1">
      <c r="C677" s="137"/>
      <c r="D677" s="138"/>
      <c r="E677" s="138"/>
      <c r="F677" s="138"/>
      <c r="J677" s="138"/>
      <c r="K677" s="138"/>
      <c r="L677" s="138"/>
      <c r="M677" s="139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32"/>
      <c r="AE677" s="140"/>
      <c r="AF677" s="140"/>
      <c r="AG677" s="140"/>
      <c r="AH677" s="140"/>
      <c r="AI677" s="140"/>
      <c r="AJ677" s="141"/>
      <c r="AK677" s="140"/>
      <c r="AL677" s="140"/>
      <c r="AM677" s="140"/>
      <c r="AN677" s="140"/>
      <c r="AO677" s="140"/>
      <c r="AP677" s="140"/>
      <c r="AQ677" s="138"/>
      <c r="AR677" s="140"/>
      <c r="AS677" s="140"/>
      <c r="AT677" s="140"/>
      <c r="AU677" s="140"/>
      <c r="AV677" s="138"/>
      <c r="AW677" s="138"/>
      <c r="AX677" s="140"/>
      <c r="AY677" s="140"/>
      <c r="AZ677" s="140"/>
      <c r="BA677" s="140"/>
      <c r="BB677" s="140"/>
      <c r="BC677" s="140"/>
    </row>
    <row r="678" ht="15.75" customHeight="1">
      <c r="C678" s="137"/>
      <c r="D678" s="138"/>
      <c r="E678" s="138"/>
      <c r="F678" s="138"/>
      <c r="J678" s="138"/>
      <c r="K678" s="138"/>
      <c r="L678" s="138"/>
      <c r="M678" s="139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32"/>
      <c r="AE678" s="140"/>
      <c r="AF678" s="140"/>
      <c r="AG678" s="140"/>
      <c r="AH678" s="140"/>
      <c r="AI678" s="140"/>
      <c r="AJ678" s="141"/>
      <c r="AK678" s="140"/>
      <c r="AL678" s="140"/>
      <c r="AM678" s="140"/>
      <c r="AN678" s="140"/>
      <c r="AO678" s="140"/>
      <c r="AP678" s="140"/>
      <c r="AQ678" s="138"/>
      <c r="AR678" s="140"/>
      <c r="AS678" s="140"/>
      <c r="AT678" s="140"/>
      <c r="AU678" s="140"/>
      <c r="AV678" s="138"/>
      <c r="AW678" s="138"/>
      <c r="AX678" s="140"/>
      <c r="AY678" s="140"/>
      <c r="AZ678" s="140"/>
      <c r="BA678" s="140"/>
      <c r="BB678" s="140"/>
      <c r="BC678" s="140"/>
    </row>
    <row r="679" ht="15.75" customHeight="1">
      <c r="C679" s="137"/>
      <c r="D679" s="138"/>
      <c r="E679" s="138"/>
      <c r="F679" s="138"/>
      <c r="J679" s="138"/>
      <c r="K679" s="138"/>
      <c r="L679" s="138"/>
      <c r="M679" s="139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32"/>
      <c r="AE679" s="140"/>
      <c r="AF679" s="140"/>
      <c r="AG679" s="140"/>
      <c r="AH679" s="140"/>
      <c r="AI679" s="140"/>
      <c r="AJ679" s="141"/>
      <c r="AK679" s="140"/>
      <c r="AL679" s="140"/>
      <c r="AM679" s="140"/>
      <c r="AN679" s="140"/>
      <c r="AO679" s="140"/>
      <c r="AP679" s="140"/>
      <c r="AQ679" s="138"/>
      <c r="AR679" s="140"/>
      <c r="AS679" s="140"/>
      <c r="AT679" s="140"/>
      <c r="AU679" s="140"/>
      <c r="AV679" s="138"/>
      <c r="AW679" s="138"/>
      <c r="AX679" s="140"/>
      <c r="AY679" s="140"/>
      <c r="AZ679" s="140"/>
      <c r="BA679" s="140"/>
      <c r="BB679" s="140"/>
      <c r="BC679" s="140"/>
    </row>
    <row r="680" ht="15.75" customHeight="1">
      <c r="C680" s="137"/>
      <c r="D680" s="138"/>
      <c r="E680" s="138"/>
      <c r="F680" s="138"/>
      <c r="J680" s="138"/>
      <c r="K680" s="138"/>
      <c r="L680" s="138"/>
      <c r="M680" s="139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32"/>
      <c r="AE680" s="140"/>
      <c r="AF680" s="140"/>
      <c r="AG680" s="140"/>
      <c r="AH680" s="140"/>
      <c r="AI680" s="140"/>
      <c r="AJ680" s="141"/>
      <c r="AK680" s="140"/>
      <c r="AL680" s="140"/>
      <c r="AM680" s="140"/>
      <c r="AN680" s="140"/>
      <c r="AO680" s="140"/>
      <c r="AP680" s="140"/>
      <c r="AQ680" s="138"/>
      <c r="AR680" s="140"/>
      <c r="AS680" s="140"/>
      <c r="AT680" s="140"/>
      <c r="AU680" s="140"/>
      <c r="AV680" s="138"/>
      <c r="AW680" s="138"/>
      <c r="AX680" s="140"/>
      <c r="AY680" s="140"/>
      <c r="AZ680" s="140"/>
      <c r="BA680" s="140"/>
      <c r="BB680" s="140"/>
      <c r="BC680" s="140"/>
    </row>
    <row r="681" ht="15.75" customHeight="1">
      <c r="C681" s="137"/>
      <c r="D681" s="138"/>
      <c r="E681" s="138"/>
      <c r="F681" s="138"/>
      <c r="J681" s="138"/>
      <c r="K681" s="138"/>
      <c r="L681" s="138"/>
      <c r="M681" s="139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32"/>
      <c r="AE681" s="140"/>
      <c r="AF681" s="140"/>
      <c r="AG681" s="140"/>
      <c r="AH681" s="140"/>
      <c r="AI681" s="140"/>
      <c r="AJ681" s="141"/>
      <c r="AK681" s="140"/>
      <c r="AL681" s="140"/>
      <c r="AM681" s="140"/>
      <c r="AN681" s="140"/>
      <c r="AO681" s="140"/>
      <c r="AP681" s="140"/>
      <c r="AQ681" s="138"/>
      <c r="AR681" s="140"/>
      <c r="AS681" s="140"/>
      <c r="AT681" s="140"/>
      <c r="AU681" s="140"/>
      <c r="AV681" s="138"/>
      <c r="AW681" s="138"/>
      <c r="AX681" s="140"/>
      <c r="AY681" s="140"/>
      <c r="AZ681" s="140"/>
      <c r="BA681" s="140"/>
      <c r="BB681" s="140"/>
      <c r="BC681" s="140"/>
    </row>
    <row r="682" ht="15.75" customHeight="1">
      <c r="C682" s="137"/>
      <c r="D682" s="138"/>
      <c r="E682" s="138"/>
      <c r="F682" s="138"/>
      <c r="J682" s="138"/>
      <c r="K682" s="138"/>
      <c r="L682" s="138"/>
      <c r="M682" s="139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32"/>
      <c r="AE682" s="140"/>
      <c r="AF682" s="140"/>
      <c r="AG682" s="140"/>
      <c r="AH682" s="140"/>
      <c r="AI682" s="140"/>
      <c r="AJ682" s="141"/>
      <c r="AK682" s="140"/>
      <c r="AL682" s="140"/>
      <c r="AM682" s="140"/>
      <c r="AN682" s="140"/>
      <c r="AO682" s="140"/>
      <c r="AP682" s="140"/>
      <c r="AQ682" s="138"/>
      <c r="AR682" s="140"/>
      <c r="AS682" s="140"/>
      <c r="AT682" s="140"/>
      <c r="AU682" s="140"/>
      <c r="AV682" s="138"/>
      <c r="AW682" s="138"/>
      <c r="AX682" s="140"/>
      <c r="AY682" s="140"/>
      <c r="AZ682" s="140"/>
      <c r="BA682" s="140"/>
      <c r="BB682" s="140"/>
      <c r="BC682" s="140"/>
    </row>
    <row r="683" ht="15.75" customHeight="1">
      <c r="C683" s="137"/>
      <c r="D683" s="138"/>
      <c r="E683" s="138"/>
      <c r="F683" s="138"/>
      <c r="J683" s="138"/>
      <c r="K683" s="138"/>
      <c r="L683" s="138"/>
      <c r="M683" s="139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32"/>
      <c r="AE683" s="140"/>
      <c r="AF683" s="140"/>
      <c r="AG683" s="140"/>
      <c r="AH683" s="140"/>
      <c r="AI683" s="140"/>
      <c r="AJ683" s="141"/>
      <c r="AK683" s="140"/>
      <c r="AL683" s="140"/>
      <c r="AM683" s="140"/>
      <c r="AN683" s="140"/>
      <c r="AO683" s="140"/>
      <c r="AP683" s="140"/>
      <c r="AQ683" s="138"/>
      <c r="AR683" s="140"/>
      <c r="AS683" s="140"/>
      <c r="AT683" s="140"/>
      <c r="AU683" s="140"/>
      <c r="AV683" s="138"/>
      <c r="AW683" s="138"/>
      <c r="AX683" s="140"/>
      <c r="AY683" s="140"/>
      <c r="AZ683" s="140"/>
      <c r="BA683" s="140"/>
      <c r="BB683" s="140"/>
      <c r="BC683" s="140"/>
    </row>
    <row r="684" ht="15.75" customHeight="1">
      <c r="C684" s="137"/>
      <c r="D684" s="138"/>
      <c r="E684" s="138"/>
      <c r="F684" s="138"/>
      <c r="J684" s="138"/>
      <c r="K684" s="138"/>
      <c r="L684" s="138"/>
      <c r="M684" s="139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32"/>
      <c r="AE684" s="140"/>
      <c r="AF684" s="140"/>
      <c r="AG684" s="140"/>
      <c r="AH684" s="140"/>
      <c r="AI684" s="140"/>
      <c r="AJ684" s="141"/>
      <c r="AK684" s="140"/>
      <c r="AL684" s="140"/>
      <c r="AM684" s="140"/>
      <c r="AN684" s="140"/>
      <c r="AO684" s="140"/>
      <c r="AP684" s="140"/>
      <c r="AQ684" s="138"/>
      <c r="AR684" s="140"/>
      <c r="AS684" s="140"/>
      <c r="AT684" s="140"/>
      <c r="AU684" s="140"/>
      <c r="AV684" s="138"/>
      <c r="AW684" s="138"/>
      <c r="AX684" s="140"/>
      <c r="AY684" s="140"/>
      <c r="AZ684" s="140"/>
      <c r="BA684" s="140"/>
      <c r="BB684" s="140"/>
      <c r="BC684" s="140"/>
    </row>
    <row r="685" ht="15.75" customHeight="1">
      <c r="C685" s="137"/>
      <c r="D685" s="138"/>
      <c r="E685" s="138"/>
      <c r="F685" s="138"/>
      <c r="J685" s="138"/>
      <c r="K685" s="138"/>
      <c r="L685" s="138"/>
      <c r="M685" s="139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32"/>
      <c r="AE685" s="140"/>
      <c r="AF685" s="140"/>
      <c r="AG685" s="140"/>
      <c r="AH685" s="140"/>
      <c r="AI685" s="140"/>
      <c r="AJ685" s="141"/>
      <c r="AK685" s="140"/>
      <c r="AL685" s="140"/>
      <c r="AM685" s="140"/>
      <c r="AN685" s="140"/>
      <c r="AO685" s="140"/>
      <c r="AP685" s="140"/>
      <c r="AQ685" s="138"/>
      <c r="AR685" s="140"/>
      <c r="AS685" s="140"/>
      <c r="AT685" s="140"/>
      <c r="AU685" s="140"/>
      <c r="AV685" s="138"/>
      <c r="AW685" s="138"/>
      <c r="AX685" s="140"/>
      <c r="AY685" s="140"/>
      <c r="AZ685" s="140"/>
      <c r="BA685" s="140"/>
      <c r="BB685" s="140"/>
      <c r="BC685" s="140"/>
    </row>
    <row r="686" ht="15.75" customHeight="1">
      <c r="C686" s="137"/>
      <c r="D686" s="138"/>
      <c r="E686" s="138"/>
      <c r="F686" s="138"/>
      <c r="J686" s="138"/>
      <c r="K686" s="138"/>
      <c r="L686" s="138"/>
      <c r="M686" s="139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32"/>
      <c r="AE686" s="140"/>
      <c r="AF686" s="140"/>
      <c r="AG686" s="140"/>
      <c r="AH686" s="140"/>
      <c r="AI686" s="140"/>
      <c r="AJ686" s="141"/>
      <c r="AK686" s="140"/>
      <c r="AL686" s="140"/>
      <c r="AM686" s="140"/>
      <c r="AN686" s="140"/>
      <c r="AO686" s="140"/>
      <c r="AP686" s="140"/>
      <c r="AQ686" s="138"/>
      <c r="AR686" s="140"/>
      <c r="AS686" s="140"/>
      <c r="AT686" s="140"/>
      <c r="AU686" s="140"/>
      <c r="AV686" s="138"/>
      <c r="AW686" s="138"/>
      <c r="AX686" s="140"/>
      <c r="AY686" s="140"/>
      <c r="AZ686" s="140"/>
      <c r="BA686" s="140"/>
      <c r="BB686" s="140"/>
      <c r="BC686" s="140"/>
    </row>
    <row r="687" ht="15.75" customHeight="1">
      <c r="C687" s="137"/>
      <c r="D687" s="138"/>
      <c r="E687" s="138"/>
      <c r="F687" s="138"/>
      <c r="J687" s="138"/>
      <c r="K687" s="138"/>
      <c r="L687" s="138"/>
      <c r="M687" s="139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32"/>
      <c r="AE687" s="140"/>
      <c r="AF687" s="140"/>
      <c r="AG687" s="140"/>
      <c r="AH687" s="140"/>
      <c r="AI687" s="140"/>
      <c r="AJ687" s="141"/>
      <c r="AK687" s="140"/>
      <c r="AL687" s="140"/>
      <c r="AM687" s="140"/>
      <c r="AN687" s="140"/>
      <c r="AO687" s="140"/>
      <c r="AP687" s="140"/>
      <c r="AQ687" s="138"/>
      <c r="AR687" s="140"/>
      <c r="AS687" s="140"/>
      <c r="AT687" s="140"/>
      <c r="AU687" s="140"/>
      <c r="AV687" s="138"/>
      <c r="AW687" s="138"/>
      <c r="AX687" s="140"/>
      <c r="AY687" s="140"/>
      <c r="AZ687" s="140"/>
      <c r="BA687" s="140"/>
      <c r="BB687" s="140"/>
      <c r="BC687" s="140"/>
    </row>
    <row r="688" ht="15.75" customHeight="1">
      <c r="C688" s="137"/>
      <c r="D688" s="138"/>
      <c r="E688" s="138"/>
      <c r="F688" s="138"/>
      <c r="J688" s="138"/>
      <c r="K688" s="138"/>
      <c r="L688" s="138"/>
      <c r="M688" s="139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32"/>
      <c r="AE688" s="140"/>
      <c r="AF688" s="140"/>
      <c r="AG688" s="140"/>
      <c r="AH688" s="140"/>
      <c r="AI688" s="140"/>
      <c r="AJ688" s="141"/>
      <c r="AK688" s="140"/>
      <c r="AL688" s="140"/>
      <c r="AM688" s="140"/>
      <c r="AN688" s="140"/>
      <c r="AO688" s="140"/>
      <c r="AP688" s="140"/>
      <c r="AQ688" s="138"/>
      <c r="AR688" s="140"/>
      <c r="AS688" s="140"/>
      <c r="AT688" s="140"/>
      <c r="AU688" s="140"/>
      <c r="AV688" s="138"/>
      <c r="AW688" s="138"/>
      <c r="AX688" s="140"/>
      <c r="AY688" s="140"/>
      <c r="AZ688" s="140"/>
      <c r="BA688" s="140"/>
      <c r="BB688" s="140"/>
      <c r="BC688" s="140"/>
    </row>
    <row r="689" ht="15.75" customHeight="1">
      <c r="C689" s="137"/>
      <c r="D689" s="138"/>
      <c r="E689" s="138"/>
      <c r="F689" s="138"/>
      <c r="J689" s="138"/>
      <c r="K689" s="138"/>
      <c r="L689" s="138"/>
      <c r="M689" s="139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32"/>
      <c r="AE689" s="140"/>
      <c r="AF689" s="140"/>
      <c r="AG689" s="140"/>
      <c r="AH689" s="140"/>
      <c r="AI689" s="140"/>
      <c r="AJ689" s="141"/>
      <c r="AK689" s="140"/>
      <c r="AL689" s="140"/>
      <c r="AM689" s="140"/>
      <c r="AN689" s="140"/>
      <c r="AO689" s="140"/>
      <c r="AP689" s="140"/>
      <c r="AQ689" s="138"/>
      <c r="AR689" s="140"/>
      <c r="AS689" s="140"/>
      <c r="AT689" s="140"/>
      <c r="AU689" s="140"/>
      <c r="AV689" s="138"/>
      <c r="AW689" s="138"/>
      <c r="AX689" s="140"/>
      <c r="AY689" s="140"/>
      <c r="AZ689" s="140"/>
      <c r="BA689" s="140"/>
      <c r="BB689" s="140"/>
      <c r="BC689" s="140"/>
    </row>
    <row r="690" ht="15.75" customHeight="1">
      <c r="C690" s="137"/>
      <c r="D690" s="138"/>
      <c r="E690" s="138"/>
      <c r="F690" s="138"/>
      <c r="J690" s="138"/>
      <c r="K690" s="138"/>
      <c r="L690" s="138"/>
      <c r="M690" s="139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32"/>
      <c r="AE690" s="140"/>
      <c r="AF690" s="140"/>
      <c r="AG690" s="140"/>
      <c r="AH690" s="140"/>
      <c r="AI690" s="140"/>
      <c r="AJ690" s="141"/>
      <c r="AK690" s="140"/>
      <c r="AL690" s="140"/>
      <c r="AM690" s="140"/>
      <c r="AN690" s="140"/>
      <c r="AO690" s="140"/>
      <c r="AP690" s="140"/>
      <c r="AQ690" s="138"/>
      <c r="AR690" s="140"/>
      <c r="AS690" s="140"/>
      <c r="AT690" s="140"/>
      <c r="AU690" s="140"/>
      <c r="AV690" s="138"/>
      <c r="AW690" s="138"/>
      <c r="AX690" s="140"/>
      <c r="AY690" s="140"/>
      <c r="AZ690" s="140"/>
      <c r="BA690" s="140"/>
      <c r="BB690" s="140"/>
      <c r="BC690" s="140"/>
    </row>
    <row r="691" ht="15.75" customHeight="1">
      <c r="C691" s="137"/>
      <c r="D691" s="138"/>
      <c r="E691" s="138"/>
      <c r="F691" s="138"/>
      <c r="J691" s="138"/>
      <c r="K691" s="138"/>
      <c r="L691" s="138"/>
      <c r="M691" s="139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32"/>
      <c r="AE691" s="140"/>
      <c r="AF691" s="140"/>
      <c r="AG691" s="140"/>
      <c r="AH691" s="140"/>
      <c r="AI691" s="140"/>
      <c r="AJ691" s="141"/>
      <c r="AK691" s="140"/>
      <c r="AL691" s="140"/>
      <c r="AM691" s="140"/>
      <c r="AN691" s="140"/>
      <c r="AO691" s="140"/>
      <c r="AP691" s="140"/>
      <c r="AQ691" s="138"/>
      <c r="AR691" s="140"/>
      <c r="AS691" s="140"/>
      <c r="AT691" s="140"/>
      <c r="AU691" s="140"/>
      <c r="AV691" s="138"/>
      <c r="AW691" s="138"/>
      <c r="AX691" s="140"/>
      <c r="AY691" s="140"/>
      <c r="AZ691" s="140"/>
      <c r="BA691" s="140"/>
      <c r="BB691" s="140"/>
      <c r="BC691" s="140"/>
    </row>
    <row r="692" ht="15.75" customHeight="1">
      <c r="C692" s="137"/>
      <c r="D692" s="138"/>
      <c r="E692" s="138"/>
      <c r="F692" s="138"/>
      <c r="J692" s="138"/>
      <c r="K692" s="138"/>
      <c r="L692" s="138"/>
      <c r="M692" s="139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32"/>
      <c r="AE692" s="140"/>
      <c r="AF692" s="140"/>
      <c r="AG692" s="140"/>
      <c r="AH692" s="140"/>
      <c r="AI692" s="140"/>
      <c r="AJ692" s="141"/>
      <c r="AK692" s="140"/>
      <c r="AL692" s="140"/>
      <c r="AM692" s="140"/>
      <c r="AN692" s="140"/>
      <c r="AO692" s="140"/>
      <c r="AP692" s="140"/>
      <c r="AQ692" s="138"/>
      <c r="AR692" s="140"/>
      <c r="AS692" s="140"/>
      <c r="AT692" s="140"/>
      <c r="AU692" s="140"/>
      <c r="AV692" s="138"/>
      <c r="AW692" s="138"/>
      <c r="AX692" s="140"/>
      <c r="AY692" s="140"/>
      <c r="AZ692" s="140"/>
      <c r="BA692" s="140"/>
      <c r="BB692" s="140"/>
      <c r="BC692" s="140"/>
    </row>
    <row r="693" ht="15.75" customHeight="1">
      <c r="C693" s="137"/>
      <c r="D693" s="138"/>
      <c r="E693" s="138"/>
      <c r="F693" s="138"/>
      <c r="J693" s="138"/>
      <c r="K693" s="138"/>
      <c r="L693" s="138"/>
      <c r="M693" s="139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32"/>
      <c r="AE693" s="140"/>
      <c r="AF693" s="140"/>
      <c r="AG693" s="140"/>
      <c r="AH693" s="140"/>
      <c r="AI693" s="140"/>
      <c r="AJ693" s="141"/>
      <c r="AK693" s="140"/>
      <c r="AL693" s="140"/>
      <c r="AM693" s="140"/>
      <c r="AN693" s="140"/>
      <c r="AO693" s="140"/>
      <c r="AP693" s="140"/>
      <c r="AQ693" s="138"/>
      <c r="AR693" s="140"/>
      <c r="AS693" s="140"/>
      <c r="AT693" s="140"/>
      <c r="AU693" s="140"/>
      <c r="AV693" s="138"/>
      <c r="AW693" s="138"/>
      <c r="AX693" s="140"/>
      <c r="AY693" s="140"/>
      <c r="AZ693" s="140"/>
      <c r="BA693" s="140"/>
      <c r="BB693" s="140"/>
      <c r="BC693" s="140"/>
    </row>
    <row r="694" ht="15.75" customHeight="1">
      <c r="C694" s="137"/>
      <c r="D694" s="138"/>
      <c r="E694" s="138"/>
      <c r="F694" s="138"/>
      <c r="J694" s="138"/>
      <c r="K694" s="138"/>
      <c r="L694" s="138"/>
      <c r="M694" s="139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32"/>
      <c r="AE694" s="140"/>
      <c r="AF694" s="140"/>
      <c r="AG694" s="140"/>
      <c r="AH694" s="140"/>
      <c r="AI694" s="140"/>
      <c r="AJ694" s="141"/>
      <c r="AK694" s="140"/>
      <c r="AL694" s="140"/>
      <c r="AM694" s="140"/>
      <c r="AN694" s="140"/>
      <c r="AO694" s="140"/>
      <c r="AP694" s="140"/>
      <c r="AQ694" s="138"/>
      <c r="AR694" s="140"/>
      <c r="AS694" s="140"/>
      <c r="AT694" s="140"/>
      <c r="AU694" s="140"/>
      <c r="AV694" s="138"/>
      <c r="AW694" s="138"/>
      <c r="AX694" s="140"/>
      <c r="AY694" s="140"/>
      <c r="AZ694" s="140"/>
      <c r="BA694" s="140"/>
      <c r="BB694" s="140"/>
      <c r="BC694" s="140"/>
    </row>
    <row r="695" ht="15.75" customHeight="1">
      <c r="C695" s="137"/>
      <c r="D695" s="138"/>
      <c r="E695" s="138"/>
      <c r="F695" s="138"/>
      <c r="J695" s="138"/>
      <c r="K695" s="138"/>
      <c r="L695" s="138"/>
      <c r="M695" s="139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32"/>
      <c r="AE695" s="140"/>
      <c r="AF695" s="140"/>
      <c r="AG695" s="140"/>
      <c r="AH695" s="140"/>
      <c r="AI695" s="140"/>
      <c r="AJ695" s="141"/>
      <c r="AK695" s="140"/>
      <c r="AL695" s="140"/>
      <c r="AM695" s="140"/>
      <c r="AN695" s="140"/>
      <c r="AO695" s="140"/>
      <c r="AP695" s="140"/>
      <c r="AQ695" s="138"/>
      <c r="AR695" s="140"/>
      <c r="AS695" s="140"/>
      <c r="AT695" s="140"/>
      <c r="AU695" s="140"/>
      <c r="AV695" s="138"/>
      <c r="AW695" s="138"/>
      <c r="AX695" s="140"/>
      <c r="AY695" s="140"/>
      <c r="AZ695" s="140"/>
      <c r="BA695" s="140"/>
      <c r="BB695" s="140"/>
      <c r="BC695" s="140"/>
    </row>
    <row r="696" ht="15.75" customHeight="1">
      <c r="C696" s="137"/>
      <c r="D696" s="138"/>
      <c r="E696" s="138"/>
      <c r="F696" s="138"/>
      <c r="J696" s="138"/>
      <c r="K696" s="138"/>
      <c r="L696" s="138"/>
      <c r="M696" s="139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32"/>
      <c r="AE696" s="140"/>
      <c r="AF696" s="140"/>
      <c r="AG696" s="140"/>
      <c r="AH696" s="140"/>
      <c r="AI696" s="140"/>
      <c r="AJ696" s="141"/>
      <c r="AK696" s="140"/>
      <c r="AL696" s="140"/>
      <c r="AM696" s="140"/>
      <c r="AN696" s="140"/>
      <c r="AO696" s="140"/>
      <c r="AP696" s="140"/>
      <c r="AQ696" s="138"/>
      <c r="AR696" s="140"/>
      <c r="AS696" s="140"/>
      <c r="AT696" s="140"/>
      <c r="AU696" s="140"/>
      <c r="AV696" s="138"/>
      <c r="AW696" s="138"/>
      <c r="AX696" s="140"/>
      <c r="AY696" s="140"/>
      <c r="AZ696" s="140"/>
      <c r="BA696" s="140"/>
      <c r="BB696" s="140"/>
      <c r="BC696" s="140"/>
    </row>
    <row r="697" ht="15.75" customHeight="1">
      <c r="C697" s="137"/>
      <c r="D697" s="138"/>
      <c r="E697" s="138"/>
      <c r="F697" s="138"/>
      <c r="J697" s="138"/>
      <c r="K697" s="138"/>
      <c r="L697" s="138"/>
      <c r="M697" s="139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32"/>
      <c r="AE697" s="140"/>
      <c r="AF697" s="140"/>
      <c r="AG697" s="140"/>
      <c r="AH697" s="140"/>
      <c r="AI697" s="140"/>
      <c r="AJ697" s="141"/>
      <c r="AK697" s="140"/>
      <c r="AL697" s="140"/>
      <c r="AM697" s="140"/>
      <c r="AN697" s="140"/>
      <c r="AO697" s="140"/>
      <c r="AP697" s="140"/>
      <c r="AQ697" s="138"/>
      <c r="AR697" s="140"/>
      <c r="AS697" s="140"/>
      <c r="AT697" s="140"/>
      <c r="AU697" s="140"/>
      <c r="AV697" s="138"/>
      <c r="AW697" s="138"/>
      <c r="AX697" s="140"/>
      <c r="AY697" s="140"/>
      <c r="AZ697" s="140"/>
      <c r="BA697" s="140"/>
      <c r="BB697" s="140"/>
      <c r="BC697" s="140"/>
    </row>
    <row r="698" ht="15.75" customHeight="1">
      <c r="C698" s="137"/>
      <c r="D698" s="138"/>
      <c r="E698" s="138"/>
      <c r="F698" s="138"/>
      <c r="J698" s="138"/>
      <c r="K698" s="138"/>
      <c r="L698" s="138"/>
      <c r="M698" s="139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32"/>
      <c r="AE698" s="140"/>
      <c r="AF698" s="140"/>
      <c r="AG698" s="140"/>
      <c r="AH698" s="140"/>
      <c r="AI698" s="140"/>
      <c r="AJ698" s="141"/>
      <c r="AK698" s="140"/>
      <c r="AL698" s="140"/>
      <c r="AM698" s="140"/>
      <c r="AN698" s="140"/>
      <c r="AO698" s="140"/>
      <c r="AP698" s="140"/>
      <c r="AQ698" s="138"/>
      <c r="AR698" s="140"/>
      <c r="AS698" s="140"/>
      <c r="AT698" s="140"/>
      <c r="AU698" s="140"/>
      <c r="AV698" s="138"/>
      <c r="AW698" s="138"/>
      <c r="AX698" s="140"/>
      <c r="AY698" s="140"/>
      <c r="AZ698" s="140"/>
      <c r="BA698" s="140"/>
      <c r="BB698" s="140"/>
      <c r="BC698" s="140"/>
    </row>
    <row r="699" ht="15.75" customHeight="1">
      <c r="C699" s="137"/>
      <c r="D699" s="138"/>
      <c r="E699" s="138"/>
      <c r="F699" s="138"/>
      <c r="J699" s="138"/>
      <c r="K699" s="138"/>
      <c r="L699" s="138"/>
      <c r="M699" s="139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32"/>
      <c r="AE699" s="140"/>
      <c r="AF699" s="140"/>
      <c r="AG699" s="140"/>
      <c r="AH699" s="140"/>
      <c r="AI699" s="140"/>
      <c r="AJ699" s="141"/>
      <c r="AK699" s="140"/>
      <c r="AL699" s="140"/>
      <c r="AM699" s="140"/>
      <c r="AN699" s="140"/>
      <c r="AO699" s="140"/>
      <c r="AP699" s="140"/>
      <c r="AQ699" s="138"/>
      <c r="AR699" s="140"/>
      <c r="AS699" s="140"/>
      <c r="AT699" s="140"/>
      <c r="AU699" s="140"/>
      <c r="AV699" s="138"/>
      <c r="AW699" s="138"/>
      <c r="AX699" s="140"/>
      <c r="AY699" s="140"/>
      <c r="AZ699" s="140"/>
      <c r="BA699" s="140"/>
      <c r="BB699" s="140"/>
      <c r="BC699" s="140"/>
    </row>
    <row r="700" ht="15.75" customHeight="1">
      <c r="C700" s="137"/>
      <c r="D700" s="138"/>
      <c r="E700" s="138"/>
      <c r="F700" s="138"/>
      <c r="J700" s="138"/>
      <c r="K700" s="138"/>
      <c r="L700" s="138"/>
      <c r="M700" s="139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32"/>
      <c r="AE700" s="140"/>
      <c r="AF700" s="140"/>
      <c r="AG700" s="140"/>
      <c r="AH700" s="140"/>
      <c r="AI700" s="140"/>
      <c r="AJ700" s="141"/>
      <c r="AK700" s="140"/>
      <c r="AL700" s="140"/>
      <c r="AM700" s="140"/>
      <c r="AN700" s="140"/>
      <c r="AO700" s="140"/>
      <c r="AP700" s="140"/>
      <c r="AQ700" s="138"/>
      <c r="AR700" s="140"/>
      <c r="AS700" s="140"/>
      <c r="AT700" s="140"/>
      <c r="AU700" s="140"/>
      <c r="AV700" s="138"/>
      <c r="AW700" s="138"/>
      <c r="AX700" s="140"/>
      <c r="AY700" s="140"/>
      <c r="AZ700" s="140"/>
      <c r="BA700" s="140"/>
      <c r="BB700" s="140"/>
      <c r="BC700" s="140"/>
    </row>
    <row r="701" ht="15.75" customHeight="1">
      <c r="C701" s="137"/>
      <c r="D701" s="138"/>
      <c r="E701" s="138"/>
      <c r="F701" s="138"/>
      <c r="J701" s="138"/>
      <c r="K701" s="138"/>
      <c r="L701" s="138"/>
      <c r="M701" s="139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32"/>
      <c r="AE701" s="140"/>
      <c r="AF701" s="140"/>
      <c r="AG701" s="140"/>
      <c r="AH701" s="140"/>
      <c r="AI701" s="140"/>
      <c r="AJ701" s="141"/>
      <c r="AK701" s="140"/>
      <c r="AL701" s="140"/>
      <c r="AM701" s="140"/>
      <c r="AN701" s="140"/>
      <c r="AO701" s="140"/>
      <c r="AP701" s="140"/>
      <c r="AQ701" s="138"/>
      <c r="AR701" s="140"/>
      <c r="AS701" s="140"/>
      <c r="AT701" s="140"/>
      <c r="AU701" s="140"/>
      <c r="AV701" s="138"/>
      <c r="AW701" s="138"/>
      <c r="AX701" s="140"/>
      <c r="AY701" s="140"/>
      <c r="AZ701" s="140"/>
      <c r="BA701" s="140"/>
      <c r="BB701" s="140"/>
      <c r="BC701" s="140"/>
    </row>
    <row r="702" ht="15.75" customHeight="1">
      <c r="C702" s="137"/>
      <c r="D702" s="138"/>
      <c r="E702" s="138"/>
      <c r="F702" s="138"/>
      <c r="J702" s="138"/>
      <c r="K702" s="138"/>
      <c r="L702" s="138"/>
      <c r="M702" s="139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32"/>
      <c r="AE702" s="140"/>
      <c r="AF702" s="140"/>
      <c r="AG702" s="140"/>
      <c r="AH702" s="140"/>
      <c r="AI702" s="140"/>
      <c r="AJ702" s="141"/>
      <c r="AK702" s="140"/>
      <c r="AL702" s="140"/>
      <c r="AM702" s="140"/>
      <c r="AN702" s="140"/>
      <c r="AO702" s="140"/>
      <c r="AP702" s="140"/>
      <c r="AQ702" s="138"/>
      <c r="AR702" s="140"/>
      <c r="AS702" s="140"/>
      <c r="AT702" s="140"/>
      <c r="AU702" s="140"/>
      <c r="AV702" s="138"/>
      <c r="AW702" s="138"/>
      <c r="AX702" s="140"/>
      <c r="AY702" s="140"/>
      <c r="AZ702" s="140"/>
      <c r="BA702" s="140"/>
      <c r="BB702" s="140"/>
      <c r="BC702" s="140"/>
    </row>
    <row r="703" ht="15.75" customHeight="1">
      <c r="C703" s="137"/>
      <c r="D703" s="138"/>
      <c r="E703" s="138"/>
      <c r="F703" s="138"/>
      <c r="J703" s="138"/>
      <c r="K703" s="138"/>
      <c r="L703" s="138"/>
      <c r="M703" s="139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32"/>
      <c r="AE703" s="140"/>
      <c r="AF703" s="140"/>
      <c r="AG703" s="140"/>
      <c r="AH703" s="140"/>
      <c r="AI703" s="140"/>
      <c r="AJ703" s="141"/>
      <c r="AK703" s="140"/>
      <c r="AL703" s="140"/>
      <c r="AM703" s="140"/>
      <c r="AN703" s="140"/>
      <c r="AO703" s="140"/>
      <c r="AP703" s="140"/>
      <c r="AQ703" s="138"/>
      <c r="AR703" s="140"/>
      <c r="AS703" s="140"/>
      <c r="AT703" s="140"/>
      <c r="AU703" s="140"/>
      <c r="AV703" s="138"/>
      <c r="AW703" s="138"/>
      <c r="AX703" s="140"/>
      <c r="AY703" s="140"/>
      <c r="AZ703" s="140"/>
      <c r="BA703" s="140"/>
      <c r="BB703" s="140"/>
      <c r="BC703" s="140"/>
    </row>
    <row r="704" ht="15.75" customHeight="1">
      <c r="C704" s="137"/>
      <c r="D704" s="138"/>
      <c r="E704" s="138"/>
      <c r="F704" s="138"/>
      <c r="J704" s="138"/>
      <c r="K704" s="138"/>
      <c r="L704" s="138"/>
      <c r="M704" s="139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32"/>
      <c r="AE704" s="140"/>
      <c r="AF704" s="140"/>
      <c r="AG704" s="140"/>
      <c r="AH704" s="140"/>
      <c r="AI704" s="140"/>
      <c r="AJ704" s="141"/>
      <c r="AK704" s="140"/>
      <c r="AL704" s="140"/>
      <c r="AM704" s="140"/>
      <c r="AN704" s="140"/>
      <c r="AO704" s="140"/>
      <c r="AP704" s="140"/>
      <c r="AQ704" s="138"/>
      <c r="AR704" s="140"/>
      <c r="AS704" s="140"/>
      <c r="AT704" s="140"/>
      <c r="AU704" s="140"/>
      <c r="AV704" s="138"/>
      <c r="AW704" s="138"/>
      <c r="AX704" s="140"/>
      <c r="AY704" s="140"/>
      <c r="AZ704" s="140"/>
      <c r="BA704" s="140"/>
      <c r="BB704" s="140"/>
      <c r="BC704" s="140"/>
    </row>
    <row r="705" ht="15.75" customHeight="1">
      <c r="C705" s="137"/>
      <c r="D705" s="138"/>
      <c r="E705" s="138"/>
      <c r="F705" s="138"/>
      <c r="J705" s="138"/>
      <c r="K705" s="138"/>
      <c r="L705" s="138"/>
      <c r="M705" s="139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32"/>
      <c r="AE705" s="140"/>
      <c r="AF705" s="140"/>
      <c r="AG705" s="140"/>
      <c r="AH705" s="140"/>
      <c r="AI705" s="140"/>
      <c r="AJ705" s="141"/>
      <c r="AK705" s="140"/>
      <c r="AL705" s="140"/>
      <c r="AM705" s="140"/>
      <c r="AN705" s="140"/>
      <c r="AO705" s="140"/>
      <c r="AP705" s="140"/>
      <c r="AQ705" s="138"/>
      <c r="AR705" s="140"/>
      <c r="AS705" s="140"/>
      <c r="AT705" s="140"/>
      <c r="AU705" s="140"/>
      <c r="AV705" s="138"/>
      <c r="AW705" s="138"/>
      <c r="AX705" s="140"/>
      <c r="AY705" s="140"/>
      <c r="AZ705" s="140"/>
      <c r="BA705" s="140"/>
      <c r="BB705" s="140"/>
      <c r="BC705" s="140"/>
    </row>
    <row r="706" ht="15.75" customHeight="1">
      <c r="C706" s="137"/>
      <c r="D706" s="138"/>
      <c r="E706" s="138"/>
      <c r="F706" s="138"/>
      <c r="J706" s="138"/>
      <c r="K706" s="138"/>
      <c r="L706" s="138"/>
      <c r="M706" s="139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32"/>
      <c r="AE706" s="140"/>
      <c r="AF706" s="140"/>
      <c r="AG706" s="140"/>
      <c r="AH706" s="140"/>
      <c r="AI706" s="140"/>
      <c r="AJ706" s="141"/>
      <c r="AK706" s="140"/>
      <c r="AL706" s="140"/>
      <c r="AM706" s="140"/>
      <c r="AN706" s="140"/>
      <c r="AO706" s="140"/>
      <c r="AP706" s="140"/>
      <c r="AQ706" s="138"/>
      <c r="AR706" s="140"/>
      <c r="AS706" s="140"/>
      <c r="AT706" s="140"/>
      <c r="AU706" s="140"/>
      <c r="AV706" s="138"/>
      <c r="AW706" s="138"/>
      <c r="AX706" s="140"/>
      <c r="AY706" s="140"/>
      <c r="AZ706" s="140"/>
      <c r="BA706" s="140"/>
      <c r="BB706" s="140"/>
      <c r="BC706" s="140"/>
    </row>
    <row r="707" ht="15.75" customHeight="1">
      <c r="C707" s="137"/>
      <c r="D707" s="138"/>
      <c r="E707" s="138"/>
      <c r="F707" s="138"/>
      <c r="J707" s="138"/>
      <c r="K707" s="138"/>
      <c r="L707" s="138"/>
      <c r="M707" s="139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32"/>
      <c r="AE707" s="140"/>
      <c r="AF707" s="140"/>
      <c r="AG707" s="140"/>
      <c r="AH707" s="140"/>
      <c r="AI707" s="140"/>
      <c r="AJ707" s="141"/>
      <c r="AK707" s="140"/>
      <c r="AL707" s="140"/>
      <c r="AM707" s="140"/>
      <c r="AN707" s="140"/>
      <c r="AO707" s="140"/>
      <c r="AP707" s="140"/>
      <c r="AQ707" s="138"/>
      <c r="AR707" s="140"/>
      <c r="AS707" s="140"/>
      <c r="AT707" s="140"/>
      <c r="AU707" s="140"/>
      <c r="AV707" s="138"/>
      <c r="AW707" s="138"/>
      <c r="AX707" s="140"/>
      <c r="AY707" s="140"/>
      <c r="AZ707" s="140"/>
      <c r="BA707" s="140"/>
      <c r="BB707" s="140"/>
      <c r="BC707" s="140"/>
    </row>
    <row r="708" ht="15.75" customHeight="1">
      <c r="C708" s="137"/>
      <c r="D708" s="138"/>
      <c r="E708" s="138"/>
      <c r="F708" s="138"/>
      <c r="J708" s="138"/>
      <c r="K708" s="138"/>
      <c r="L708" s="138"/>
      <c r="M708" s="139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32"/>
      <c r="AE708" s="140"/>
      <c r="AF708" s="140"/>
      <c r="AG708" s="140"/>
      <c r="AH708" s="140"/>
      <c r="AI708" s="140"/>
      <c r="AJ708" s="141"/>
      <c r="AK708" s="140"/>
      <c r="AL708" s="140"/>
      <c r="AM708" s="140"/>
      <c r="AN708" s="140"/>
      <c r="AO708" s="140"/>
      <c r="AP708" s="140"/>
      <c r="AQ708" s="138"/>
      <c r="AR708" s="140"/>
      <c r="AS708" s="140"/>
      <c r="AT708" s="140"/>
      <c r="AU708" s="140"/>
      <c r="AV708" s="138"/>
      <c r="AW708" s="138"/>
      <c r="AX708" s="140"/>
      <c r="AY708" s="140"/>
      <c r="AZ708" s="140"/>
      <c r="BA708" s="140"/>
      <c r="BB708" s="140"/>
      <c r="BC708" s="140"/>
    </row>
    <row r="709" ht="15.75" customHeight="1">
      <c r="C709" s="137"/>
      <c r="D709" s="138"/>
      <c r="E709" s="138"/>
      <c r="F709" s="138"/>
      <c r="J709" s="138"/>
      <c r="K709" s="138"/>
      <c r="L709" s="138"/>
      <c r="M709" s="139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32"/>
      <c r="AE709" s="140"/>
      <c r="AF709" s="140"/>
      <c r="AG709" s="140"/>
      <c r="AH709" s="140"/>
      <c r="AI709" s="140"/>
      <c r="AJ709" s="141"/>
      <c r="AK709" s="140"/>
      <c r="AL709" s="140"/>
      <c r="AM709" s="140"/>
      <c r="AN709" s="140"/>
      <c r="AO709" s="140"/>
      <c r="AP709" s="140"/>
      <c r="AQ709" s="138"/>
      <c r="AR709" s="140"/>
      <c r="AS709" s="140"/>
      <c r="AT709" s="140"/>
      <c r="AU709" s="140"/>
      <c r="AV709" s="138"/>
      <c r="AW709" s="138"/>
      <c r="AX709" s="140"/>
      <c r="AY709" s="140"/>
      <c r="AZ709" s="140"/>
      <c r="BA709" s="140"/>
      <c r="BB709" s="140"/>
      <c r="BC709" s="140"/>
    </row>
    <row r="710" ht="15.75" customHeight="1">
      <c r="C710" s="137"/>
      <c r="D710" s="138"/>
      <c r="E710" s="138"/>
      <c r="F710" s="138"/>
      <c r="J710" s="138"/>
      <c r="K710" s="138"/>
      <c r="L710" s="138"/>
      <c r="M710" s="139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32"/>
      <c r="AE710" s="140"/>
      <c r="AF710" s="140"/>
      <c r="AG710" s="140"/>
      <c r="AH710" s="140"/>
      <c r="AI710" s="140"/>
      <c r="AJ710" s="141"/>
      <c r="AK710" s="140"/>
      <c r="AL710" s="140"/>
      <c r="AM710" s="140"/>
      <c r="AN710" s="140"/>
      <c r="AO710" s="140"/>
      <c r="AP710" s="140"/>
      <c r="AQ710" s="138"/>
      <c r="AR710" s="140"/>
      <c r="AS710" s="140"/>
      <c r="AT710" s="140"/>
      <c r="AU710" s="140"/>
      <c r="AV710" s="138"/>
      <c r="AW710" s="138"/>
      <c r="AX710" s="140"/>
      <c r="AY710" s="140"/>
      <c r="AZ710" s="140"/>
      <c r="BA710" s="140"/>
      <c r="BB710" s="140"/>
      <c r="BC710" s="140"/>
    </row>
    <row r="711" ht="15.75" customHeight="1">
      <c r="C711" s="137"/>
      <c r="D711" s="138"/>
      <c r="E711" s="138"/>
      <c r="F711" s="138"/>
      <c r="J711" s="138"/>
      <c r="K711" s="138"/>
      <c r="L711" s="138"/>
      <c r="M711" s="139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32"/>
      <c r="AE711" s="140"/>
      <c r="AF711" s="140"/>
      <c r="AG711" s="140"/>
      <c r="AH711" s="140"/>
      <c r="AI711" s="140"/>
      <c r="AJ711" s="141"/>
      <c r="AK711" s="140"/>
      <c r="AL711" s="140"/>
      <c r="AM711" s="140"/>
      <c r="AN711" s="140"/>
      <c r="AO711" s="140"/>
      <c r="AP711" s="140"/>
      <c r="AQ711" s="138"/>
      <c r="AR711" s="140"/>
      <c r="AS711" s="140"/>
      <c r="AT711" s="140"/>
      <c r="AU711" s="140"/>
      <c r="AV711" s="138"/>
      <c r="AW711" s="138"/>
      <c r="AX711" s="140"/>
      <c r="AY711" s="140"/>
      <c r="AZ711" s="140"/>
      <c r="BA711" s="140"/>
      <c r="BB711" s="140"/>
      <c r="BC711" s="140"/>
    </row>
    <row r="712" ht="15.75" customHeight="1">
      <c r="C712" s="137"/>
      <c r="D712" s="138"/>
      <c r="E712" s="138"/>
      <c r="F712" s="138"/>
      <c r="J712" s="138"/>
      <c r="K712" s="138"/>
      <c r="L712" s="138"/>
      <c r="M712" s="139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32"/>
      <c r="AE712" s="140"/>
      <c r="AF712" s="140"/>
      <c r="AG712" s="140"/>
      <c r="AH712" s="140"/>
      <c r="AI712" s="140"/>
      <c r="AJ712" s="141"/>
      <c r="AK712" s="140"/>
      <c r="AL712" s="140"/>
      <c r="AM712" s="140"/>
      <c r="AN712" s="140"/>
      <c r="AO712" s="140"/>
      <c r="AP712" s="140"/>
      <c r="AQ712" s="138"/>
      <c r="AR712" s="140"/>
      <c r="AS712" s="140"/>
      <c r="AT712" s="140"/>
      <c r="AU712" s="140"/>
      <c r="AV712" s="138"/>
      <c r="AW712" s="138"/>
      <c r="AX712" s="140"/>
      <c r="AY712" s="140"/>
      <c r="AZ712" s="140"/>
      <c r="BA712" s="140"/>
      <c r="BB712" s="140"/>
      <c r="BC712" s="140"/>
    </row>
    <row r="713" ht="15.75" customHeight="1">
      <c r="C713" s="137"/>
      <c r="D713" s="138"/>
      <c r="E713" s="138"/>
      <c r="F713" s="138"/>
      <c r="J713" s="138"/>
      <c r="K713" s="138"/>
      <c r="L713" s="138"/>
      <c r="M713" s="139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32"/>
      <c r="AE713" s="140"/>
      <c r="AF713" s="140"/>
      <c r="AG713" s="140"/>
      <c r="AH713" s="140"/>
      <c r="AI713" s="140"/>
      <c r="AJ713" s="141"/>
      <c r="AK713" s="140"/>
      <c r="AL713" s="140"/>
      <c r="AM713" s="140"/>
      <c r="AN713" s="140"/>
      <c r="AO713" s="140"/>
      <c r="AP713" s="140"/>
      <c r="AQ713" s="138"/>
      <c r="AR713" s="140"/>
      <c r="AS713" s="140"/>
      <c r="AT713" s="140"/>
      <c r="AU713" s="140"/>
      <c r="AV713" s="138"/>
      <c r="AW713" s="138"/>
      <c r="AX713" s="140"/>
      <c r="AY713" s="140"/>
      <c r="AZ713" s="140"/>
      <c r="BA713" s="140"/>
      <c r="BB713" s="140"/>
      <c r="BC713" s="140"/>
    </row>
    <row r="714" ht="15.75" customHeight="1">
      <c r="C714" s="137"/>
      <c r="D714" s="138"/>
      <c r="E714" s="138"/>
      <c r="F714" s="138"/>
      <c r="J714" s="138"/>
      <c r="K714" s="138"/>
      <c r="L714" s="138"/>
      <c r="M714" s="139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32"/>
      <c r="AE714" s="140"/>
      <c r="AF714" s="140"/>
      <c r="AG714" s="140"/>
      <c r="AH714" s="140"/>
      <c r="AI714" s="140"/>
      <c r="AJ714" s="141"/>
      <c r="AK714" s="140"/>
      <c r="AL714" s="140"/>
      <c r="AM714" s="140"/>
      <c r="AN714" s="140"/>
      <c r="AO714" s="140"/>
      <c r="AP714" s="140"/>
      <c r="AQ714" s="138"/>
      <c r="AR714" s="140"/>
      <c r="AS714" s="140"/>
      <c r="AT714" s="140"/>
      <c r="AU714" s="140"/>
      <c r="AV714" s="138"/>
      <c r="AW714" s="138"/>
      <c r="AX714" s="140"/>
      <c r="AY714" s="140"/>
      <c r="AZ714" s="140"/>
      <c r="BA714" s="140"/>
      <c r="BB714" s="140"/>
      <c r="BC714" s="140"/>
    </row>
    <row r="715" ht="15.75" customHeight="1">
      <c r="C715" s="137"/>
      <c r="D715" s="138"/>
      <c r="E715" s="138"/>
      <c r="F715" s="138"/>
      <c r="J715" s="138"/>
      <c r="K715" s="138"/>
      <c r="L715" s="138"/>
      <c r="M715" s="139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32"/>
      <c r="AE715" s="140"/>
      <c r="AF715" s="140"/>
      <c r="AG715" s="140"/>
      <c r="AH715" s="140"/>
      <c r="AI715" s="140"/>
      <c r="AJ715" s="141"/>
      <c r="AK715" s="140"/>
      <c r="AL715" s="140"/>
      <c r="AM715" s="140"/>
      <c r="AN715" s="140"/>
      <c r="AO715" s="140"/>
      <c r="AP715" s="140"/>
      <c r="AQ715" s="138"/>
      <c r="AR715" s="140"/>
      <c r="AS715" s="140"/>
      <c r="AT715" s="140"/>
      <c r="AU715" s="140"/>
      <c r="AV715" s="138"/>
      <c r="AW715" s="138"/>
      <c r="AX715" s="140"/>
      <c r="AY715" s="140"/>
      <c r="AZ715" s="140"/>
      <c r="BA715" s="140"/>
      <c r="BB715" s="140"/>
      <c r="BC715" s="140"/>
    </row>
    <row r="716" ht="15.75" customHeight="1">
      <c r="C716" s="137"/>
      <c r="D716" s="138"/>
      <c r="E716" s="138"/>
      <c r="F716" s="138"/>
      <c r="J716" s="138"/>
      <c r="K716" s="138"/>
      <c r="L716" s="138"/>
      <c r="M716" s="139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32"/>
      <c r="AE716" s="140"/>
      <c r="AF716" s="140"/>
      <c r="AG716" s="140"/>
      <c r="AH716" s="140"/>
      <c r="AI716" s="140"/>
      <c r="AJ716" s="141"/>
      <c r="AK716" s="140"/>
      <c r="AL716" s="140"/>
      <c r="AM716" s="140"/>
      <c r="AN716" s="140"/>
      <c r="AO716" s="140"/>
      <c r="AP716" s="140"/>
      <c r="AQ716" s="138"/>
      <c r="AR716" s="140"/>
      <c r="AS716" s="140"/>
      <c r="AT716" s="140"/>
      <c r="AU716" s="140"/>
      <c r="AV716" s="138"/>
      <c r="AW716" s="138"/>
      <c r="AX716" s="140"/>
      <c r="AY716" s="140"/>
      <c r="AZ716" s="140"/>
      <c r="BA716" s="140"/>
      <c r="BB716" s="140"/>
      <c r="BC716" s="140"/>
    </row>
    <row r="717" ht="15.75" customHeight="1">
      <c r="C717" s="137"/>
      <c r="D717" s="138"/>
      <c r="E717" s="138"/>
      <c r="F717" s="138"/>
      <c r="J717" s="138"/>
      <c r="K717" s="138"/>
      <c r="L717" s="138"/>
      <c r="M717" s="139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32"/>
      <c r="AE717" s="140"/>
      <c r="AF717" s="140"/>
      <c r="AG717" s="140"/>
      <c r="AH717" s="140"/>
      <c r="AI717" s="140"/>
      <c r="AJ717" s="141"/>
      <c r="AK717" s="140"/>
      <c r="AL717" s="140"/>
      <c r="AM717" s="140"/>
      <c r="AN717" s="140"/>
      <c r="AO717" s="140"/>
      <c r="AP717" s="140"/>
      <c r="AQ717" s="138"/>
      <c r="AR717" s="140"/>
      <c r="AS717" s="140"/>
      <c r="AT717" s="140"/>
      <c r="AU717" s="140"/>
      <c r="AV717" s="138"/>
      <c r="AW717" s="138"/>
      <c r="AX717" s="140"/>
      <c r="AY717" s="140"/>
      <c r="AZ717" s="140"/>
      <c r="BA717" s="140"/>
      <c r="BB717" s="140"/>
      <c r="BC717" s="140"/>
    </row>
    <row r="718" ht="15.75" customHeight="1">
      <c r="C718" s="137"/>
      <c r="D718" s="138"/>
      <c r="E718" s="138"/>
      <c r="F718" s="138"/>
      <c r="J718" s="138"/>
      <c r="K718" s="138"/>
      <c r="L718" s="138"/>
      <c r="M718" s="139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32"/>
      <c r="AE718" s="140"/>
      <c r="AF718" s="140"/>
      <c r="AG718" s="140"/>
      <c r="AH718" s="140"/>
      <c r="AI718" s="140"/>
      <c r="AJ718" s="141"/>
      <c r="AK718" s="140"/>
      <c r="AL718" s="140"/>
      <c r="AM718" s="140"/>
      <c r="AN718" s="140"/>
      <c r="AO718" s="140"/>
      <c r="AP718" s="140"/>
      <c r="AQ718" s="138"/>
      <c r="AR718" s="140"/>
      <c r="AS718" s="140"/>
      <c r="AT718" s="140"/>
      <c r="AU718" s="140"/>
      <c r="AV718" s="138"/>
      <c r="AW718" s="138"/>
      <c r="AX718" s="140"/>
      <c r="AY718" s="140"/>
      <c r="AZ718" s="140"/>
      <c r="BA718" s="140"/>
      <c r="BB718" s="140"/>
      <c r="BC718" s="140"/>
    </row>
    <row r="719" ht="15.75" customHeight="1">
      <c r="C719" s="137"/>
      <c r="D719" s="138"/>
      <c r="E719" s="138"/>
      <c r="F719" s="138"/>
      <c r="J719" s="138"/>
      <c r="K719" s="138"/>
      <c r="L719" s="138"/>
      <c r="M719" s="139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32"/>
      <c r="AE719" s="140"/>
      <c r="AF719" s="140"/>
      <c r="AG719" s="140"/>
      <c r="AH719" s="140"/>
      <c r="AI719" s="140"/>
      <c r="AJ719" s="141"/>
      <c r="AK719" s="140"/>
      <c r="AL719" s="140"/>
      <c r="AM719" s="140"/>
      <c r="AN719" s="140"/>
      <c r="AO719" s="140"/>
      <c r="AP719" s="140"/>
      <c r="AQ719" s="138"/>
      <c r="AR719" s="140"/>
      <c r="AS719" s="140"/>
      <c r="AT719" s="140"/>
      <c r="AU719" s="140"/>
      <c r="AV719" s="138"/>
      <c r="AW719" s="138"/>
      <c r="AX719" s="140"/>
      <c r="AY719" s="140"/>
      <c r="AZ719" s="140"/>
      <c r="BA719" s="140"/>
      <c r="BB719" s="140"/>
      <c r="BC719" s="140"/>
    </row>
    <row r="720" ht="15.75" customHeight="1">
      <c r="C720" s="137"/>
      <c r="D720" s="138"/>
      <c r="E720" s="138"/>
      <c r="F720" s="138"/>
      <c r="J720" s="138"/>
      <c r="K720" s="138"/>
      <c r="L720" s="138"/>
      <c r="M720" s="139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32"/>
      <c r="AE720" s="140"/>
      <c r="AF720" s="140"/>
      <c r="AG720" s="140"/>
      <c r="AH720" s="140"/>
      <c r="AI720" s="140"/>
      <c r="AJ720" s="141"/>
      <c r="AK720" s="140"/>
      <c r="AL720" s="140"/>
      <c r="AM720" s="140"/>
      <c r="AN720" s="140"/>
      <c r="AO720" s="140"/>
      <c r="AP720" s="140"/>
      <c r="AQ720" s="138"/>
      <c r="AR720" s="140"/>
      <c r="AS720" s="140"/>
      <c r="AT720" s="140"/>
      <c r="AU720" s="140"/>
      <c r="AV720" s="138"/>
      <c r="AW720" s="138"/>
      <c r="AX720" s="140"/>
      <c r="AY720" s="140"/>
      <c r="AZ720" s="140"/>
      <c r="BA720" s="140"/>
      <c r="BB720" s="140"/>
      <c r="BC720" s="140"/>
    </row>
    <row r="721" ht="15.75" customHeight="1">
      <c r="C721" s="137"/>
      <c r="D721" s="138"/>
      <c r="E721" s="138"/>
      <c r="F721" s="138"/>
      <c r="J721" s="138"/>
      <c r="K721" s="138"/>
      <c r="L721" s="138"/>
      <c r="M721" s="139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32"/>
      <c r="AE721" s="140"/>
      <c r="AF721" s="140"/>
      <c r="AG721" s="140"/>
      <c r="AH721" s="140"/>
      <c r="AI721" s="140"/>
      <c r="AJ721" s="141"/>
      <c r="AK721" s="140"/>
      <c r="AL721" s="140"/>
      <c r="AM721" s="140"/>
      <c r="AN721" s="140"/>
      <c r="AO721" s="140"/>
      <c r="AP721" s="140"/>
      <c r="AQ721" s="138"/>
      <c r="AR721" s="140"/>
      <c r="AS721" s="140"/>
      <c r="AT721" s="140"/>
      <c r="AU721" s="140"/>
      <c r="AV721" s="138"/>
      <c r="AW721" s="138"/>
      <c r="AX721" s="140"/>
      <c r="AY721" s="140"/>
      <c r="AZ721" s="140"/>
      <c r="BA721" s="140"/>
      <c r="BB721" s="140"/>
      <c r="BC721" s="140"/>
    </row>
    <row r="722" ht="15.75" customHeight="1">
      <c r="C722" s="137"/>
      <c r="D722" s="138"/>
      <c r="E722" s="138"/>
      <c r="F722" s="138"/>
      <c r="J722" s="138"/>
      <c r="K722" s="138"/>
      <c r="L722" s="138"/>
      <c r="M722" s="139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32"/>
      <c r="AE722" s="140"/>
      <c r="AF722" s="140"/>
      <c r="AG722" s="140"/>
      <c r="AH722" s="140"/>
      <c r="AI722" s="140"/>
      <c r="AJ722" s="141"/>
      <c r="AK722" s="140"/>
      <c r="AL722" s="140"/>
      <c r="AM722" s="140"/>
      <c r="AN722" s="140"/>
      <c r="AO722" s="140"/>
      <c r="AP722" s="140"/>
      <c r="AQ722" s="138"/>
      <c r="AR722" s="140"/>
      <c r="AS722" s="140"/>
      <c r="AT722" s="140"/>
      <c r="AU722" s="140"/>
      <c r="AV722" s="138"/>
      <c r="AW722" s="138"/>
      <c r="AX722" s="140"/>
      <c r="AY722" s="140"/>
      <c r="AZ722" s="140"/>
      <c r="BA722" s="140"/>
      <c r="BB722" s="140"/>
      <c r="BC722" s="140"/>
    </row>
    <row r="723" ht="15.75" customHeight="1">
      <c r="C723" s="137"/>
      <c r="D723" s="138"/>
      <c r="E723" s="138"/>
      <c r="F723" s="138"/>
      <c r="J723" s="138"/>
      <c r="K723" s="138"/>
      <c r="L723" s="138"/>
      <c r="M723" s="139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32"/>
      <c r="AE723" s="140"/>
      <c r="AF723" s="140"/>
      <c r="AG723" s="140"/>
      <c r="AH723" s="140"/>
      <c r="AI723" s="140"/>
      <c r="AJ723" s="141"/>
      <c r="AK723" s="140"/>
      <c r="AL723" s="140"/>
      <c r="AM723" s="140"/>
      <c r="AN723" s="140"/>
      <c r="AO723" s="140"/>
      <c r="AP723" s="140"/>
      <c r="AQ723" s="138"/>
      <c r="AR723" s="140"/>
      <c r="AS723" s="140"/>
      <c r="AT723" s="140"/>
      <c r="AU723" s="140"/>
      <c r="AV723" s="138"/>
      <c r="AW723" s="138"/>
      <c r="AX723" s="140"/>
      <c r="AY723" s="140"/>
      <c r="AZ723" s="140"/>
      <c r="BA723" s="140"/>
      <c r="BB723" s="140"/>
      <c r="BC723" s="140"/>
    </row>
    <row r="724" ht="15.75" customHeight="1">
      <c r="C724" s="137"/>
      <c r="D724" s="138"/>
      <c r="E724" s="138"/>
      <c r="F724" s="138"/>
      <c r="J724" s="138"/>
      <c r="K724" s="138"/>
      <c r="L724" s="138"/>
      <c r="M724" s="139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32"/>
      <c r="AE724" s="140"/>
      <c r="AF724" s="140"/>
      <c r="AG724" s="140"/>
      <c r="AH724" s="140"/>
      <c r="AI724" s="140"/>
      <c r="AJ724" s="141"/>
      <c r="AK724" s="140"/>
      <c r="AL724" s="140"/>
      <c r="AM724" s="140"/>
      <c r="AN724" s="140"/>
      <c r="AO724" s="140"/>
      <c r="AP724" s="140"/>
      <c r="AQ724" s="138"/>
      <c r="AR724" s="140"/>
      <c r="AS724" s="140"/>
      <c r="AT724" s="140"/>
      <c r="AU724" s="140"/>
      <c r="AV724" s="138"/>
      <c r="AW724" s="138"/>
      <c r="AX724" s="140"/>
      <c r="AY724" s="140"/>
      <c r="AZ724" s="140"/>
      <c r="BA724" s="140"/>
      <c r="BB724" s="140"/>
      <c r="BC724" s="140"/>
    </row>
    <row r="725" ht="15.75" customHeight="1">
      <c r="C725" s="137"/>
      <c r="D725" s="138"/>
      <c r="E725" s="138"/>
      <c r="F725" s="138"/>
      <c r="J725" s="138"/>
      <c r="K725" s="138"/>
      <c r="L725" s="138"/>
      <c r="M725" s="139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32"/>
      <c r="AE725" s="140"/>
      <c r="AF725" s="140"/>
      <c r="AG725" s="140"/>
      <c r="AH725" s="140"/>
      <c r="AI725" s="140"/>
      <c r="AJ725" s="141"/>
      <c r="AK725" s="140"/>
      <c r="AL725" s="140"/>
      <c r="AM725" s="140"/>
      <c r="AN725" s="140"/>
      <c r="AO725" s="140"/>
      <c r="AP725" s="140"/>
      <c r="AQ725" s="138"/>
      <c r="AR725" s="140"/>
      <c r="AS725" s="140"/>
      <c r="AT725" s="140"/>
      <c r="AU725" s="140"/>
      <c r="AV725" s="138"/>
      <c r="AW725" s="138"/>
      <c r="AX725" s="140"/>
      <c r="AY725" s="140"/>
      <c r="AZ725" s="140"/>
      <c r="BA725" s="140"/>
      <c r="BB725" s="140"/>
      <c r="BC725" s="140"/>
    </row>
    <row r="726" ht="15.75" customHeight="1">
      <c r="C726" s="137"/>
      <c r="D726" s="138"/>
      <c r="E726" s="138"/>
      <c r="F726" s="138"/>
      <c r="J726" s="138"/>
      <c r="K726" s="138"/>
      <c r="L726" s="138"/>
      <c r="M726" s="139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32"/>
      <c r="AE726" s="140"/>
      <c r="AF726" s="140"/>
      <c r="AG726" s="140"/>
      <c r="AH726" s="140"/>
      <c r="AI726" s="140"/>
      <c r="AJ726" s="141"/>
      <c r="AK726" s="140"/>
      <c r="AL726" s="140"/>
      <c r="AM726" s="140"/>
      <c r="AN726" s="140"/>
      <c r="AO726" s="140"/>
      <c r="AP726" s="140"/>
      <c r="AQ726" s="138"/>
      <c r="AR726" s="140"/>
      <c r="AS726" s="140"/>
      <c r="AT726" s="140"/>
      <c r="AU726" s="140"/>
      <c r="AV726" s="138"/>
      <c r="AW726" s="138"/>
      <c r="AX726" s="140"/>
      <c r="AY726" s="140"/>
      <c r="AZ726" s="140"/>
      <c r="BA726" s="140"/>
      <c r="BB726" s="140"/>
      <c r="BC726" s="140"/>
    </row>
    <row r="727" ht="15.75" customHeight="1">
      <c r="C727" s="137"/>
      <c r="D727" s="138"/>
      <c r="E727" s="138"/>
      <c r="F727" s="138"/>
      <c r="J727" s="138"/>
      <c r="K727" s="138"/>
      <c r="L727" s="138"/>
      <c r="M727" s="139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32"/>
      <c r="AE727" s="140"/>
      <c r="AF727" s="140"/>
      <c r="AG727" s="140"/>
      <c r="AH727" s="140"/>
      <c r="AI727" s="140"/>
      <c r="AJ727" s="141"/>
      <c r="AK727" s="140"/>
      <c r="AL727" s="140"/>
      <c r="AM727" s="140"/>
      <c r="AN727" s="140"/>
      <c r="AO727" s="140"/>
      <c r="AP727" s="140"/>
      <c r="AQ727" s="138"/>
      <c r="AR727" s="140"/>
      <c r="AS727" s="140"/>
      <c r="AT727" s="140"/>
      <c r="AU727" s="140"/>
      <c r="AV727" s="138"/>
      <c r="AW727" s="138"/>
      <c r="AX727" s="140"/>
      <c r="AY727" s="140"/>
      <c r="AZ727" s="140"/>
      <c r="BA727" s="140"/>
      <c r="BB727" s="140"/>
      <c r="BC727" s="140"/>
    </row>
    <row r="728" ht="15.75" customHeight="1">
      <c r="C728" s="137"/>
      <c r="D728" s="138"/>
      <c r="E728" s="138"/>
      <c r="F728" s="138"/>
      <c r="J728" s="138"/>
      <c r="K728" s="138"/>
      <c r="L728" s="138"/>
      <c r="M728" s="139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32"/>
      <c r="AE728" s="140"/>
      <c r="AF728" s="140"/>
      <c r="AG728" s="140"/>
      <c r="AH728" s="140"/>
      <c r="AI728" s="140"/>
      <c r="AJ728" s="141"/>
      <c r="AK728" s="140"/>
      <c r="AL728" s="140"/>
      <c r="AM728" s="140"/>
      <c r="AN728" s="140"/>
      <c r="AO728" s="140"/>
      <c r="AP728" s="140"/>
      <c r="AQ728" s="138"/>
      <c r="AR728" s="140"/>
      <c r="AS728" s="140"/>
      <c r="AT728" s="140"/>
      <c r="AU728" s="140"/>
      <c r="AV728" s="138"/>
      <c r="AW728" s="138"/>
      <c r="AX728" s="140"/>
      <c r="AY728" s="140"/>
      <c r="AZ728" s="140"/>
      <c r="BA728" s="140"/>
      <c r="BB728" s="140"/>
      <c r="BC728" s="140"/>
    </row>
    <row r="729" ht="15.75" customHeight="1">
      <c r="C729" s="137"/>
      <c r="D729" s="138"/>
      <c r="E729" s="138"/>
      <c r="F729" s="138"/>
      <c r="J729" s="138"/>
      <c r="K729" s="138"/>
      <c r="L729" s="138"/>
      <c r="M729" s="139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32"/>
      <c r="AE729" s="140"/>
      <c r="AF729" s="140"/>
      <c r="AG729" s="140"/>
      <c r="AH729" s="140"/>
      <c r="AI729" s="140"/>
      <c r="AJ729" s="141"/>
      <c r="AK729" s="140"/>
      <c r="AL729" s="140"/>
      <c r="AM729" s="140"/>
      <c r="AN729" s="140"/>
      <c r="AO729" s="140"/>
      <c r="AP729" s="140"/>
      <c r="AQ729" s="138"/>
      <c r="AR729" s="140"/>
      <c r="AS729" s="140"/>
      <c r="AT729" s="140"/>
      <c r="AU729" s="140"/>
      <c r="AV729" s="138"/>
      <c r="AW729" s="138"/>
      <c r="AX729" s="140"/>
      <c r="AY729" s="140"/>
      <c r="AZ729" s="140"/>
      <c r="BA729" s="140"/>
      <c r="BB729" s="140"/>
      <c r="BC729" s="140"/>
    </row>
    <row r="730" ht="15.75" customHeight="1">
      <c r="C730" s="137"/>
      <c r="D730" s="138"/>
      <c r="E730" s="138"/>
      <c r="F730" s="138"/>
      <c r="J730" s="138"/>
      <c r="K730" s="138"/>
      <c r="L730" s="138"/>
      <c r="M730" s="139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32"/>
      <c r="AE730" s="140"/>
      <c r="AF730" s="140"/>
      <c r="AG730" s="140"/>
      <c r="AH730" s="140"/>
      <c r="AI730" s="140"/>
      <c r="AJ730" s="141"/>
      <c r="AK730" s="140"/>
      <c r="AL730" s="140"/>
      <c r="AM730" s="140"/>
      <c r="AN730" s="140"/>
      <c r="AO730" s="140"/>
      <c r="AP730" s="140"/>
      <c r="AQ730" s="138"/>
      <c r="AR730" s="140"/>
      <c r="AS730" s="140"/>
      <c r="AT730" s="140"/>
      <c r="AU730" s="140"/>
      <c r="AV730" s="138"/>
      <c r="AW730" s="138"/>
      <c r="AX730" s="140"/>
      <c r="AY730" s="140"/>
      <c r="AZ730" s="140"/>
      <c r="BA730" s="140"/>
      <c r="BB730" s="140"/>
      <c r="BC730" s="140"/>
    </row>
    <row r="731" ht="15.75" customHeight="1">
      <c r="C731" s="137"/>
      <c r="D731" s="138"/>
      <c r="E731" s="138"/>
      <c r="F731" s="138"/>
      <c r="J731" s="138"/>
      <c r="K731" s="138"/>
      <c r="L731" s="138"/>
      <c r="M731" s="139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32"/>
      <c r="AE731" s="140"/>
      <c r="AF731" s="140"/>
      <c r="AG731" s="140"/>
      <c r="AH731" s="140"/>
      <c r="AI731" s="140"/>
      <c r="AJ731" s="141"/>
      <c r="AK731" s="140"/>
      <c r="AL731" s="140"/>
      <c r="AM731" s="140"/>
      <c r="AN731" s="140"/>
      <c r="AO731" s="140"/>
      <c r="AP731" s="140"/>
      <c r="AQ731" s="138"/>
      <c r="AR731" s="140"/>
      <c r="AS731" s="140"/>
      <c r="AT731" s="140"/>
      <c r="AU731" s="140"/>
      <c r="AV731" s="138"/>
      <c r="AW731" s="138"/>
      <c r="AX731" s="140"/>
      <c r="AY731" s="140"/>
      <c r="AZ731" s="140"/>
      <c r="BA731" s="140"/>
      <c r="BB731" s="140"/>
      <c r="BC731" s="140"/>
    </row>
    <row r="732" ht="15.75" customHeight="1">
      <c r="C732" s="137"/>
      <c r="D732" s="138"/>
      <c r="E732" s="138"/>
      <c r="F732" s="138"/>
      <c r="J732" s="138"/>
      <c r="K732" s="138"/>
      <c r="L732" s="138"/>
      <c r="M732" s="139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32"/>
      <c r="AE732" s="140"/>
      <c r="AF732" s="140"/>
      <c r="AG732" s="140"/>
      <c r="AH732" s="140"/>
      <c r="AI732" s="140"/>
      <c r="AJ732" s="141"/>
      <c r="AK732" s="140"/>
      <c r="AL732" s="140"/>
      <c r="AM732" s="140"/>
      <c r="AN732" s="140"/>
      <c r="AO732" s="140"/>
      <c r="AP732" s="140"/>
      <c r="AQ732" s="138"/>
      <c r="AR732" s="140"/>
      <c r="AS732" s="140"/>
      <c r="AT732" s="140"/>
      <c r="AU732" s="140"/>
      <c r="AV732" s="138"/>
      <c r="AW732" s="138"/>
      <c r="AX732" s="140"/>
      <c r="AY732" s="140"/>
      <c r="AZ732" s="140"/>
      <c r="BA732" s="140"/>
      <c r="BB732" s="140"/>
      <c r="BC732" s="140"/>
    </row>
    <row r="733" ht="15.75" customHeight="1">
      <c r="C733" s="137"/>
      <c r="D733" s="138"/>
      <c r="E733" s="138"/>
      <c r="F733" s="138"/>
      <c r="J733" s="138"/>
      <c r="K733" s="138"/>
      <c r="L733" s="138"/>
      <c r="M733" s="139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32"/>
      <c r="AE733" s="140"/>
      <c r="AF733" s="140"/>
      <c r="AG733" s="140"/>
      <c r="AH733" s="140"/>
      <c r="AI733" s="140"/>
      <c r="AJ733" s="141"/>
      <c r="AK733" s="140"/>
      <c r="AL733" s="140"/>
      <c r="AM733" s="140"/>
      <c r="AN733" s="140"/>
      <c r="AO733" s="140"/>
      <c r="AP733" s="140"/>
      <c r="AQ733" s="138"/>
      <c r="AR733" s="140"/>
      <c r="AS733" s="140"/>
      <c r="AT733" s="140"/>
      <c r="AU733" s="140"/>
      <c r="AV733" s="138"/>
      <c r="AW733" s="138"/>
      <c r="AX733" s="140"/>
      <c r="AY733" s="140"/>
      <c r="AZ733" s="140"/>
      <c r="BA733" s="140"/>
      <c r="BB733" s="140"/>
      <c r="BC733" s="140"/>
    </row>
    <row r="734" ht="15.75" customHeight="1">
      <c r="C734" s="137"/>
      <c r="D734" s="138"/>
      <c r="E734" s="138"/>
      <c r="F734" s="138"/>
      <c r="J734" s="138"/>
      <c r="K734" s="138"/>
      <c r="L734" s="138"/>
      <c r="M734" s="139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32"/>
      <c r="AE734" s="140"/>
      <c r="AF734" s="140"/>
      <c r="AG734" s="140"/>
      <c r="AH734" s="140"/>
      <c r="AI734" s="140"/>
      <c r="AJ734" s="141"/>
      <c r="AK734" s="140"/>
      <c r="AL734" s="140"/>
      <c r="AM734" s="140"/>
      <c r="AN734" s="140"/>
      <c r="AO734" s="140"/>
      <c r="AP734" s="140"/>
      <c r="AQ734" s="138"/>
      <c r="AR734" s="140"/>
      <c r="AS734" s="140"/>
      <c r="AT734" s="140"/>
      <c r="AU734" s="140"/>
      <c r="AV734" s="138"/>
      <c r="AW734" s="138"/>
      <c r="AX734" s="140"/>
      <c r="AY734" s="140"/>
      <c r="AZ734" s="140"/>
      <c r="BA734" s="140"/>
      <c r="BB734" s="140"/>
      <c r="BC734" s="140"/>
    </row>
    <row r="735" ht="15.75" customHeight="1">
      <c r="C735" s="137"/>
      <c r="D735" s="138"/>
      <c r="E735" s="138"/>
      <c r="F735" s="138"/>
      <c r="J735" s="138"/>
      <c r="K735" s="138"/>
      <c r="L735" s="138"/>
      <c r="M735" s="139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32"/>
      <c r="AE735" s="140"/>
      <c r="AF735" s="140"/>
      <c r="AG735" s="140"/>
      <c r="AH735" s="140"/>
      <c r="AI735" s="140"/>
      <c r="AJ735" s="141"/>
      <c r="AK735" s="140"/>
      <c r="AL735" s="140"/>
      <c r="AM735" s="140"/>
      <c r="AN735" s="140"/>
      <c r="AO735" s="140"/>
      <c r="AP735" s="140"/>
      <c r="AQ735" s="138"/>
      <c r="AR735" s="140"/>
      <c r="AS735" s="140"/>
      <c r="AT735" s="140"/>
      <c r="AU735" s="140"/>
      <c r="AV735" s="138"/>
      <c r="AW735" s="138"/>
      <c r="AX735" s="140"/>
      <c r="AY735" s="140"/>
      <c r="AZ735" s="140"/>
      <c r="BA735" s="140"/>
      <c r="BB735" s="140"/>
      <c r="BC735" s="140"/>
    </row>
    <row r="736" ht="15.75" customHeight="1">
      <c r="C736" s="137"/>
      <c r="D736" s="138"/>
      <c r="E736" s="138"/>
      <c r="F736" s="138"/>
      <c r="J736" s="138"/>
      <c r="K736" s="138"/>
      <c r="L736" s="138"/>
      <c r="M736" s="139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32"/>
      <c r="AE736" s="140"/>
      <c r="AF736" s="140"/>
      <c r="AG736" s="140"/>
      <c r="AH736" s="140"/>
      <c r="AI736" s="140"/>
      <c r="AJ736" s="141"/>
      <c r="AK736" s="140"/>
      <c r="AL736" s="140"/>
      <c r="AM736" s="140"/>
      <c r="AN736" s="140"/>
      <c r="AO736" s="140"/>
      <c r="AP736" s="140"/>
      <c r="AQ736" s="138"/>
      <c r="AR736" s="140"/>
      <c r="AS736" s="140"/>
      <c r="AT736" s="140"/>
      <c r="AU736" s="140"/>
      <c r="AV736" s="138"/>
      <c r="AW736" s="138"/>
      <c r="AX736" s="140"/>
      <c r="AY736" s="140"/>
      <c r="AZ736" s="140"/>
      <c r="BA736" s="140"/>
      <c r="BB736" s="140"/>
      <c r="BC736" s="140"/>
    </row>
    <row r="737" ht="15.75" customHeight="1">
      <c r="C737" s="137"/>
      <c r="D737" s="138"/>
      <c r="E737" s="138"/>
      <c r="F737" s="138"/>
      <c r="J737" s="138"/>
      <c r="K737" s="138"/>
      <c r="L737" s="138"/>
      <c r="M737" s="139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32"/>
      <c r="AE737" s="140"/>
      <c r="AF737" s="140"/>
      <c r="AG737" s="140"/>
      <c r="AH737" s="140"/>
      <c r="AI737" s="140"/>
      <c r="AJ737" s="141"/>
      <c r="AK737" s="140"/>
      <c r="AL737" s="140"/>
      <c r="AM737" s="140"/>
      <c r="AN737" s="140"/>
      <c r="AO737" s="140"/>
      <c r="AP737" s="140"/>
      <c r="AQ737" s="138"/>
      <c r="AR737" s="140"/>
      <c r="AS737" s="140"/>
      <c r="AT737" s="140"/>
      <c r="AU737" s="140"/>
      <c r="AV737" s="138"/>
      <c r="AW737" s="138"/>
      <c r="AX737" s="140"/>
      <c r="AY737" s="140"/>
      <c r="AZ737" s="140"/>
      <c r="BA737" s="140"/>
      <c r="BB737" s="140"/>
      <c r="BC737" s="140"/>
    </row>
    <row r="738" ht="15.75" customHeight="1">
      <c r="C738" s="137"/>
      <c r="D738" s="138"/>
      <c r="E738" s="138"/>
      <c r="F738" s="138"/>
      <c r="J738" s="138"/>
      <c r="K738" s="138"/>
      <c r="L738" s="138"/>
      <c r="M738" s="139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32"/>
      <c r="AE738" s="140"/>
      <c r="AF738" s="140"/>
      <c r="AG738" s="140"/>
      <c r="AH738" s="140"/>
      <c r="AI738" s="140"/>
      <c r="AJ738" s="141"/>
      <c r="AK738" s="140"/>
      <c r="AL738" s="140"/>
      <c r="AM738" s="140"/>
      <c r="AN738" s="140"/>
      <c r="AO738" s="140"/>
      <c r="AP738" s="140"/>
      <c r="AQ738" s="138"/>
      <c r="AR738" s="140"/>
      <c r="AS738" s="140"/>
      <c r="AT738" s="140"/>
      <c r="AU738" s="140"/>
      <c r="AV738" s="138"/>
      <c r="AW738" s="138"/>
      <c r="AX738" s="140"/>
      <c r="AY738" s="140"/>
      <c r="AZ738" s="140"/>
      <c r="BA738" s="140"/>
      <c r="BB738" s="140"/>
      <c r="BC738" s="140"/>
    </row>
    <row r="739" ht="15.75" customHeight="1">
      <c r="C739" s="137"/>
      <c r="D739" s="138"/>
      <c r="E739" s="138"/>
      <c r="F739" s="138"/>
      <c r="J739" s="138"/>
      <c r="K739" s="138"/>
      <c r="L739" s="138"/>
      <c r="M739" s="139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32"/>
      <c r="AE739" s="140"/>
      <c r="AF739" s="140"/>
      <c r="AG739" s="140"/>
      <c r="AH739" s="140"/>
      <c r="AI739" s="140"/>
      <c r="AJ739" s="141"/>
      <c r="AK739" s="140"/>
      <c r="AL739" s="140"/>
      <c r="AM739" s="140"/>
      <c r="AN739" s="140"/>
      <c r="AO739" s="140"/>
      <c r="AP739" s="140"/>
      <c r="AQ739" s="138"/>
      <c r="AR739" s="140"/>
      <c r="AS739" s="140"/>
      <c r="AT739" s="140"/>
      <c r="AU739" s="140"/>
      <c r="AV739" s="138"/>
      <c r="AW739" s="138"/>
      <c r="AX739" s="140"/>
      <c r="AY739" s="140"/>
      <c r="AZ739" s="140"/>
      <c r="BA739" s="140"/>
      <c r="BB739" s="140"/>
      <c r="BC739" s="140"/>
    </row>
    <row r="740" ht="15.75" customHeight="1">
      <c r="C740" s="137"/>
      <c r="D740" s="138"/>
      <c r="E740" s="138"/>
      <c r="F740" s="138"/>
      <c r="J740" s="138"/>
      <c r="K740" s="138"/>
      <c r="L740" s="138"/>
      <c r="M740" s="139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32"/>
      <c r="AE740" s="140"/>
      <c r="AF740" s="140"/>
      <c r="AG740" s="140"/>
      <c r="AH740" s="140"/>
      <c r="AI740" s="140"/>
      <c r="AJ740" s="141"/>
      <c r="AK740" s="140"/>
      <c r="AL740" s="140"/>
      <c r="AM740" s="140"/>
      <c r="AN740" s="140"/>
      <c r="AO740" s="140"/>
      <c r="AP740" s="140"/>
      <c r="AQ740" s="138"/>
      <c r="AR740" s="140"/>
      <c r="AS740" s="140"/>
      <c r="AT740" s="140"/>
      <c r="AU740" s="140"/>
      <c r="AV740" s="138"/>
      <c r="AW740" s="138"/>
      <c r="AX740" s="140"/>
      <c r="AY740" s="140"/>
      <c r="AZ740" s="140"/>
      <c r="BA740" s="140"/>
      <c r="BB740" s="140"/>
      <c r="BC740" s="140"/>
    </row>
    <row r="741" ht="15.75" customHeight="1">
      <c r="C741" s="137"/>
      <c r="D741" s="138"/>
      <c r="E741" s="138"/>
      <c r="F741" s="138"/>
      <c r="J741" s="138"/>
      <c r="K741" s="138"/>
      <c r="L741" s="138"/>
      <c r="M741" s="139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32"/>
      <c r="AE741" s="140"/>
      <c r="AF741" s="140"/>
      <c r="AG741" s="140"/>
      <c r="AH741" s="140"/>
      <c r="AI741" s="140"/>
      <c r="AJ741" s="141"/>
      <c r="AK741" s="140"/>
      <c r="AL741" s="140"/>
      <c r="AM741" s="140"/>
      <c r="AN741" s="140"/>
      <c r="AO741" s="140"/>
      <c r="AP741" s="140"/>
      <c r="AQ741" s="138"/>
      <c r="AR741" s="140"/>
      <c r="AS741" s="140"/>
      <c r="AT741" s="140"/>
      <c r="AU741" s="140"/>
      <c r="AV741" s="138"/>
      <c r="AW741" s="138"/>
      <c r="AX741" s="140"/>
      <c r="AY741" s="140"/>
      <c r="AZ741" s="140"/>
      <c r="BA741" s="140"/>
      <c r="BB741" s="140"/>
      <c r="BC741" s="140"/>
    </row>
    <row r="742" ht="15.75" customHeight="1">
      <c r="C742" s="137"/>
      <c r="D742" s="138"/>
      <c r="E742" s="138"/>
      <c r="F742" s="138"/>
      <c r="J742" s="138"/>
      <c r="K742" s="138"/>
      <c r="L742" s="138"/>
      <c r="M742" s="139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32"/>
      <c r="AE742" s="140"/>
      <c r="AF742" s="140"/>
      <c r="AG742" s="140"/>
      <c r="AH742" s="140"/>
      <c r="AI742" s="140"/>
      <c r="AJ742" s="141"/>
      <c r="AK742" s="140"/>
      <c r="AL742" s="140"/>
      <c r="AM742" s="140"/>
      <c r="AN742" s="140"/>
      <c r="AO742" s="140"/>
      <c r="AP742" s="140"/>
      <c r="AQ742" s="138"/>
      <c r="AR742" s="140"/>
      <c r="AS742" s="140"/>
      <c r="AT742" s="140"/>
      <c r="AU742" s="140"/>
      <c r="AV742" s="138"/>
      <c r="AW742" s="138"/>
      <c r="AX742" s="140"/>
      <c r="AY742" s="140"/>
      <c r="AZ742" s="140"/>
      <c r="BA742" s="140"/>
      <c r="BB742" s="140"/>
      <c r="BC742" s="140"/>
    </row>
    <row r="743" ht="15.75" customHeight="1">
      <c r="C743" s="137"/>
      <c r="D743" s="138"/>
      <c r="E743" s="138"/>
      <c r="F743" s="138"/>
      <c r="J743" s="138"/>
      <c r="K743" s="138"/>
      <c r="L743" s="138"/>
      <c r="M743" s="139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32"/>
      <c r="AE743" s="140"/>
      <c r="AF743" s="140"/>
      <c r="AG743" s="140"/>
      <c r="AH743" s="140"/>
      <c r="AI743" s="140"/>
      <c r="AJ743" s="141"/>
      <c r="AK743" s="140"/>
      <c r="AL743" s="140"/>
      <c r="AM743" s="140"/>
      <c r="AN743" s="140"/>
      <c r="AO743" s="140"/>
      <c r="AP743" s="140"/>
      <c r="AQ743" s="138"/>
      <c r="AR743" s="140"/>
      <c r="AS743" s="140"/>
      <c r="AT743" s="140"/>
      <c r="AU743" s="140"/>
      <c r="AV743" s="138"/>
      <c r="AW743" s="138"/>
      <c r="AX743" s="140"/>
      <c r="AY743" s="140"/>
      <c r="AZ743" s="140"/>
      <c r="BA743" s="140"/>
      <c r="BB743" s="140"/>
      <c r="BC743" s="140"/>
    </row>
    <row r="744" ht="15.75" customHeight="1">
      <c r="C744" s="137"/>
      <c r="D744" s="138"/>
      <c r="E744" s="138"/>
      <c r="F744" s="138"/>
      <c r="J744" s="138"/>
      <c r="K744" s="138"/>
      <c r="L744" s="138"/>
      <c r="M744" s="139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32"/>
      <c r="AE744" s="140"/>
      <c r="AF744" s="140"/>
      <c r="AG744" s="140"/>
      <c r="AH744" s="140"/>
      <c r="AI744" s="140"/>
      <c r="AJ744" s="141"/>
      <c r="AK744" s="140"/>
      <c r="AL744" s="140"/>
      <c r="AM744" s="140"/>
      <c r="AN744" s="140"/>
      <c r="AO744" s="140"/>
      <c r="AP744" s="140"/>
      <c r="AQ744" s="138"/>
      <c r="AR744" s="140"/>
      <c r="AS744" s="140"/>
      <c r="AT744" s="140"/>
      <c r="AU744" s="140"/>
      <c r="AV744" s="138"/>
      <c r="AW744" s="138"/>
      <c r="AX744" s="140"/>
      <c r="AY744" s="140"/>
      <c r="AZ744" s="140"/>
      <c r="BA744" s="140"/>
      <c r="BB744" s="140"/>
      <c r="BC744" s="140"/>
    </row>
    <row r="745" ht="15.75" customHeight="1">
      <c r="C745" s="137"/>
      <c r="D745" s="138"/>
      <c r="E745" s="138"/>
      <c r="F745" s="138"/>
      <c r="J745" s="138"/>
      <c r="K745" s="138"/>
      <c r="L745" s="138"/>
      <c r="M745" s="139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32"/>
      <c r="AE745" s="140"/>
      <c r="AF745" s="140"/>
      <c r="AG745" s="140"/>
      <c r="AH745" s="140"/>
      <c r="AI745" s="140"/>
      <c r="AJ745" s="141"/>
      <c r="AK745" s="140"/>
      <c r="AL745" s="140"/>
      <c r="AM745" s="140"/>
      <c r="AN745" s="140"/>
      <c r="AO745" s="140"/>
      <c r="AP745" s="140"/>
      <c r="AQ745" s="138"/>
      <c r="AR745" s="140"/>
      <c r="AS745" s="140"/>
      <c r="AT745" s="140"/>
      <c r="AU745" s="140"/>
      <c r="AV745" s="138"/>
      <c r="AW745" s="138"/>
      <c r="AX745" s="140"/>
      <c r="AY745" s="140"/>
      <c r="AZ745" s="140"/>
      <c r="BA745" s="140"/>
      <c r="BB745" s="140"/>
      <c r="BC745" s="140"/>
    </row>
    <row r="746" ht="15.75" customHeight="1">
      <c r="C746" s="137"/>
      <c r="D746" s="138"/>
      <c r="E746" s="138"/>
      <c r="F746" s="138"/>
      <c r="J746" s="138"/>
      <c r="K746" s="138"/>
      <c r="L746" s="138"/>
      <c r="M746" s="139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32"/>
      <c r="AE746" s="140"/>
      <c r="AF746" s="140"/>
      <c r="AG746" s="140"/>
      <c r="AH746" s="140"/>
      <c r="AI746" s="140"/>
      <c r="AJ746" s="141"/>
      <c r="AK746" s="140"/>
      <c r="AL746" s="140"/>
      <c r="AM746" s="140"/>
      <c r="AN746" s="140"/>
      <c r="AO746" s="140"/>
      <c r="AP746" s="140"/>
      <c r="AQ746" s="138"/>
      <c r="AR746" s="140"/>
      <c r="AS746" s="140"/>
      <c r="AT746" s="140"/>
      <c r="AU746" s="140"/>
      <c r="AV746" s="138"/>
      <c r="AW746" s="138"/>
      <c r="AX746" s="140"/>
      <c r="AY746" s="140"/>
      <c r="AZ746" s="140"/>
      <c r="BA746" s="140"/>
      <c r="BB746" s="140"/>
      <c r="BC746" s="140"/>
    </row>
    <row r="747" ht="15.75" customHeight="1">
      <c r="C747" s="137"/>
      <c r="D747" s="138"/>
      <c r="E747" s="138"/>
      <c r="F747" s="138"/>
      <c r="J747" s="138"/>
      <c r="K747" s="138"/>
      <c r="L747" s="138"/>
      <c r="M747" s="139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32"/>
      <c r="AE747" s="140"/>
      <c r="AF747" s="140"/>
      <c r="AG747" s="140"/>
      <c r="AH747" s="140"/>
      <c r="AI747" s="140"/>
      <c r="AJ747" s="141"/>
      <c r="AK747" s="140"/>
      <c r="AL747" s="140"/>
      <c r="AM747" s="140"/>
      <c r="AN747" s="140"/>
      <c r="AO747" s="140"/>
      <c r="AP747" s="140"/>
      <c r="AQ747" s="138"/>
      <c r="AR747" s="140"/>
      <c r="AS747" s="140"/>
      <c r="AT747" s="140"/>
      <c r="AU747" s="140"/>
      <c r="AV747" s="138"/>
      <c r="AW747" s="138"/>
      <c r="AX747" s="140"/>
      <c r="AY747" s="140"/>
      <c r="AZ747" s="140"/>
      <c r="BA747" s="140"/>
      <c r="BB747" s="140"/>
      <c r="BC747" s="140"/>
    </row>
    <row r="748" ht="15.75" customHeight="1">
      <c r="C748" s="137"/>
      <c r="D748" s="138"/>
      <c r="E748" s="138"/>
      <c r="F748" s="138"/>
      <c r="J748" s="138"/>
      <c r="K748" s="138"/>
      <c r="L748" s="138"/>
      <c r="M748" s="139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32"/>
      <c r="AE748" s="140"/>
      <c r="AF748" s="140"/>
      <c r="AG748" s="140"/>
      <c r="AH748" s="140"/>
      <c r="AI748" s="140"/>
      <c r="AJ748" s="141"/>
      <c r="AK748" s="140"/>
      <c r="AL748" s="140"/>
      <c r="AM748" s="140"/>
      <c r="AN748" s="140"/>
      <c r="AO748" s="140"/>
      <c r="AP748" s="140"/>
      <c r="AQ748" s="138"/>
      <c r="AR748" s="140"/>
      <c r="AS748" s="140"/>
      <c r="AT748" s="140"/>
      <c r="AU748" s="140"/>
      <c r="AV748" s="138"/>
      <c r="AW748" s="138"/>
      <c r="AX748" s="140"/>
      <c r="AY748" s="140"/>
      <c r="AZ748" s="140"/>
      <c r="BA748" s="140"/>
      <c r="BB748" s="140"/>
      <c r="BC748" s="140"/>
    </row>
    <row r="749" ht="15.75" customHeight="1">
      <c r="C749" s="137"/>
      <c r="D749" s="138"/>
      <c r="E749" s="138"/>
      <c r="F749" s="138"/>
      <c r="J749" s="138"/>
      <c r="K749" s="138"/>
      <c r="L749" s="138"/>
      <c r="M749" s="139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32"/>
      <c r="AE749" s="140"/>
      <c r="AF749" s="140"/>
      <c r="AG749" s="140"/>
      <c r="AH749" s="140"/>
      <c r="AI749" s="140"/>
      <c r="AJ749" s="141"/>
      <c r="AK749" s="140"/>
      <c r="AL749" s="140"/>
      <c r="AM749" s="140"/>
      <c r="AN749" s="140"/>
      <c r="AO749" s="140"/>
      <c r="AP749" s="140"/>
      <c r="AQ749" s="138"/>
      <c r="AR749" s="140"/>
      <c r="AS749" s="140"/>
      <c r="AT749" s="140"/>
      <c r="AU749" s="140"/>
      <c r="AV749" s="138"/>
      <c r="AW749" s="138"/>
      <c r="AX749" s="140"/>
      <c r="AY749" s="140"/>
      <c r="AZ749" s="140"/>
      <c r="BA749" s="140"/>
      <c r="BB749" s="140"/>
      <c r="BC749" s="140"/>
    </row>
    <row r="750" ht="15.75" customHeight="1">
      <c r="C750" s="137"/>
      <c r="D750" s="138"/>
      <c r="E750" s="138"/>
      <c r="F750" s="138"/>
      <c r="J750" s="138"/>
      <c r="K750" s="138"/>
      <c r="L750" s="138"/>
      <c r="M750" s="139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32"/>
      <c r="AE750" s="140"/>
      <c r="AF750" s="140"/>
      <c r="AG750" s="140"/>
      <c r="AH750" s="140"/>
      <c r="AI750" s="140"/>
      <c r="AJ750" s="141"/>
      <c r="AK750" s="140"/>
      <c r="AL750" s="140"/>
      <c r="AM750" s="140"/>
      <c r="AN750" s="140"/>
      <c r="AO750" s="140"/>
      <c r="AP750" s="140"/>
      <c r="AQ750" s="138"/>
      <c r="AR750" s="140"/>
      <c r="AS750" s="140"/>
      <c r="AT750" s="140"/>
      <c r="AU750" s="140"/>
      <c r="AV750" s="138"/>
      <c r="AW750" s="138"/>
      <c r="AX750" s="140"/>
      <c r="AY750" s="140"/>
      <c r="AZ750" s="140"/>
      <c r="BA750" s="140"/>
      <c r="BB750" s="140"/>
      <c r="BC750" s="140"/>
    </row>
    <row r="751" ht="15.75" customHeight="1">
      <c r="C751" s="137"/>
      <c r="D751" s="138"/>
      <c r="E751" s="138"/>
      <c r="F751" s="138"/>
      <c r="J751" s="138"/>
      <c r="K751" s="138"/>
      <c r="L751" s="138"/>
      <c r="M751" s="139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32"/>
      <c r="AE751" s="140"/>
      <c r="AF751" s="140"/>
      <c r="AG751" s="140"/>
      <c r="AH751" s="140"/>
      <c r="AI751" s="140"/>
      <c r="AJ751" s="141"/>
      <c r="AK751" s="140"/>
      <c r="AL751" s="140"/>
      <c r="AM751" s="140"/>
      <c r="AN751" s="140"/>
      <c r="AO751" s="140"/>
      <c r="AP751" s="140"/>
      <c r="AQ751" s="138"/>
      <c r="AR751" s="140"/>
      <c r="AS751" s="140"/>
      <c r="AT751" s="140"/>
      <c r="AU751" s="140"/>
      <c r="AV751" s="138"/>
      <c r="AW751" s="138"/>
      <c r="AX751" s="140"/>
      <c r="AY751" s="140"/>
      <c r="AZ751" s="140"/>
      <c r="BA751" s="140"/>
      <c r="BB751" s="140"/>
      <c r="BC751" s="140"/>
    </row>
    <row r="752" ht="15.75" customHeight="1">
      <c r="C752" s="137"/>
      <c r="D752" s="138"/>
      <c r="E752" s="138"/>
      <c r="F752" s="138"/>
      <c r="J752" s="138"/>
      <c r="K752" s="138"/>
      <c r="L752" s="138"/>
      <c r="M752" s="139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32"/>
      <c r="AE752" s="140"/>
      <c r="AF752" s="140"/>
      <c r="AG752" s="140"/>
      <c r="AH752" s="140"/>
      <c r="AI752" s="140"/>
      <c r="AJ752" s="141"/>
      <c r="AK752" s="140"/>
      <c r="AL752" s="140"/>
      <c r="AM752" s="140"/>
      <c r="AN752" s="140"/>
      <c r="AO752" s="140"/>
      <c r="AP752" s="140"/>
      <c r="AQ752" s="138"/>
      <c r="AR752" s="140"/>
      <c r="AS752" s="140"/>
      <c r="AT752" s="140"/>
      <c r="AU752" s="140"/>
      <c r="AV752" s="138"/>
      <c r="AW752" s="138"/>
      <c r="AX752" s="140"/>
      <c r="AY752" s="140"/>
      <c r="AZ752" s="140"/>
      <c r="BA752" s="140"/>
      <c r="BB752" s="140"/>
      <c r="BC752" s="140"/>
    </row>
    <row r="753" ht="15.75" customHeight="1">
      <c r="C753" s="137"/>
      <c r="D753" s="138"/>
      <c r="E753" s="138"/>
      <c r="F753" s="138"/>
      <c r="J753" s="138"/>
      <c r="K753" s="138"/>
      <c r="L753" s="138"/>
      <c r="M753" s="139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32"/>
      <c r="AE753" s="140"/>
      <c r="AF753" s="140"/>
      <c r="AG753" s="140"/>
      <c r="AH753" s="140"/>
      <c r="AI753" s="140"/>
      <c r="AJ753" s="141"/>
      <c r="AK753" s="140"/>
      <c r="AL753" s="140"/>
      <c r="AM753" s="140"/>
      <c r="AN753" s="140"/>
      <c r="AO753" s="140"/>
      <c r="AP753" s="140"/>
      <c r="AQ753" s="138"/>
      <c r="AR753" s="140"/>
      <c r="AS753" s="140"/>
      <c r="AT753" s="140"/>
      <c r="AU753" s="140"/>
      <c r="AV753" s="138"/>
      <c r="AW753" s="138"/>
      <c r="AX753" s="140"/>
      <c r="AY753" s="140"/>
      <c r="AZ753" s="140"/>
      <c r="BA753" s="140"/>
      <c r="BB753" s="140"/>
      <c r="BC753" s="140"/>
    </row>
    <row r="754" ht="15.75" customHeight="1">
      <c r="C754" s="137"/>
      <c r="D754" s="138"/>
      <c r="E754" s="138"/>
      <c r="F754" s="138"/>
      <c r="J754" s="138"/>
      <c r="K754" s="138"/>
      <c r="L754" s="138"/>
      <c r="M754" s="139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32"/>
      <c r="AE754" s="140"/>
      <c r="AF754" s="140"/>
      <c r="AG754" s="140"/>
      <c r="AH754" s="140"/>
      <c r="AI754" s="140"/>
      <c r="AJ754" s="141"/>
      <c r="AK754" s="140"/>
      <c r="AL754" s="140"/>
      <c r="AM754" s="140"/>
      <c r="AN754" s="140"/>
      <c r="AO754" s="140"/>
      <c r="AP754" s="140"/>
      <c r="AQ754" s="138"/>
      <c r="AR754" s="140"/>
      <c r="AS754" s="140"/>
      <c r="AT754" s="140"/>
      <c r="AU754" s="140"/>
      <c r="AV754" s="138"/>
      <c r="AW754" s="138"/>
      <c r="AX754" s="140"/>
      <c r="AY754" s="140"/>
      <c r="AZ754" s="140"/>
      <c r="BA754" s="140"/>
      <c r="BB754" s="140"/>
      <c r="BC754" s="140"/>
    </row>
    <row r="755" ht="15.75" customHeight="1">
      <c r="C755" s="137"/>
      <c r="D755" s="138"/>
      <c r="E755" s="138"/>
      <c r="F755" s="138"/>
      <c r="J755" s="138"/>
      <c r="K755" s="138"/>
      <c r="L755" s="138"/>
      <c r="M755" s="139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32"/>
      <c r="AE755" s="140"/>
      <c r="AF755" s="140"/>
      <c r="AG755" s="140"/>
      <c r="AH755" s="140"/>
      <c r="AI755" s="140"/>
      <c r="AJ755" s="141"/>
      <c r="AK755" s="140"/>
      <c r="AL755" s="140"/>
      <c r="AM755" s="140"/>
      <c r="AN755" s="140"/>
      <c r="AO755" s="140"/>
      <c r="AP755" s="140"/>
      <c r="AQ755" s="138"/>
      <c r="AR755" s="140"/>
      <c r="AS755" s="140"/>
      <c r="AT755" s="140"/>
      <c r="AU755" s="140"/>
      <c r="AV755" s="138"/>
      <c r="AW755" s="138"/>
      <c r="AX755" s="140"/>
      <c r="AY755" s="140"/>
      <c r="AZ755" s="140"/>
      <c r="BA755" s="140"/>
      <c r="BB755" s="140"/>
      <c r="BC755" s="140"/>
    </row>
    <row r="756" ht="15.75" customHeight="1">
      <c r="C756" s="137"/>
      <c r="D756" s="138"/>
      <c r="E756" s="138"/>
      <c r="F756" s="138"/>
      <c r="J756" s="138"/>
      <c r="K756" s="138"/>
      <c r="L756" s="138"/>
      <c r="M756" s="139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32"/>
      <c r="AE756" s="140"/>
      <c r="AF756" s="140"/>
      <c r="AG756" s="140"/>
      <c r="AH756" s="140"/>
      <c r="AI756" s="140"/>
      <c r="AJ756" s="141"/>
      <c r="AK756" s="140"/>
      <c r="AL756" s="140"/>
      <c r="AM756" s="140"/>
      <c r="AN756" s="140"/>
      <c r="AO756" s="140"/>
      <c r="AP756" s="140"/>
      <c r="AQ756" s="138"/>
      <c r="AR756" s="140"/>
      <c r="AS756" s="140"/>
      <c r="AT756" s="140"/>
      <c r="AU756" s="140"/>
      <c r="AV756" s="138"/>
      <c r="AW756" s="138"/>
      <c r="AX756" s="140"/>
      <c r="AY756" s="140"/>
      <c r="AZ756" s="140"/>
      <c r="BA756" s="140"/>
      <c r="BB756" s="140"/>
      <c r="BC756" s="140"/>
    </row>
    <row r="757" ht="15.75" customHeight="1">
      <c r="C757" s="137"/>
      <c r="D757" s="138"/>
      <c r="E757" s="138"/>
      <c r="F757" s="138"/>
      <c r="J757" s="138"/>
      <c r="K757" s="138"/>
      <c r="L757" s="138"/>
      <c r="M757" s="139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32"/>
      <c r="AE757" s="140"/>
      <c r="AF757" s="140"/>
      <c r="AG757" s="140"/>
      <c r="AH757" s="140"/>
      <c r="AI757" s="140"/>
      <c r="AJ757" s="141"/>
      <c r="AK757" s="140"/>
      <c r="AL757" s="140"/>
      <c r="AM757" s="140"/>
      <c r="AN757" s="140"/>
      <c r="AO757" s="140"/>
      <c r="AP757" s="140"/>
      <c r="AQ757" s="138"/>
      <c r="AR757" s="140"/>
      <c r="AS757" s="140"/>
      <c r="AT757" s="140"/>
      <c r="AU757" s="140"/>
      <c r="AV757" s="138"/>
      <c r="AW757" s="138"/>
      <c r="AX757" s="140"/>
      <c r="AY757" s="140"/>
      <c r="AZ757" s="140"/>
      <c r="BA757" s="140"/>
      <c r="BB757" s="140"/>
      <c r="BC757" s="140"/>
    </row>
    <row r="758" ht="15.75" customHeight="1">
      <c r="C758" s="137"/>
      <c r="D758" s="138"/>
      <c r="E758" s="138"/>
      <c r="F758" s="138"/>
      <c r="J758" s="138"/>
      <c r="K758" s="138"/>
      <c r="L758" s="138"/>
      <c r="M758" s="139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32"/>
      <c r="AE758" s="140"/>
      <c r="AF758" s="140"/>
      <c r="AG758" s="140"/>
      <c r="AH758" s="140"/>
      <c r="AI758" s="140"/>
      <c r="AJ758" s="141"/>
      <c r="AK758" s="140"/>
      <c r="AL758" s="140"/>
      <c r="AM758" s="140"/>
      <c r="AN758" s="140"/>
      <c r="AO758" s="140"/>
      <c r="AP758" s="140"/>
      <c r="AQ758" s="138"/>
      <c r="AR758" s="140"/>
      <c r="AS758" s="140"/>
      <c r="AT758" s="140"/>
      <c r="AU758" s="140"/>
      <c r="AV758" s="138"/>
      <c r="AW758" s="138"/>
      <c r="AX758" s="140"/>
      <c r="AY758" s="140"/>
      <c r="AZ758" s="140"/>
      <c r="BA758" s="140"/>
      <c r="BB758" s="140"/>
      <c r="BC758" s="140"/>
    </row>
    <row r="759" ht="15.75" customHeight="1">
      <c r="C759" s="137"/>
      <c r="D759" s="138"/>
      <c r="E759" s="138"/>
      <c r="F759" s="138"/>
      <c r="J759" s="138"/>
      <c r="K759" s="138"/>
      <c r="L759" s="138"/>
      <c r="M759" s="139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32"/>
      <c r="AE759" s="140"/>
      <c r="AF759" s="140"/>
      <c r="AG759" s="140"/>
      <c r="AH759" s="140"/>
      <c r="AI759" s="140"/>
      <c r="AJ759" s="141"/>
      <c r="AK759" s="140"/>
      <c r="AL759" s="140"/>
      <c r="AM759" s="140"/>
      <c r="AN759" s="140"/>
      <c r="AO759" s="140"/>
      <c r="AP759" s="140"/>
      <c r="AQ759" s="138"/>
      <c r="AR759" s="140"/>
      <c r="AS759" s="140"/>
      <c r="AT759" s="140"/>
      <c r="AU759" s="140"/>
      <c r="AV759" s="138"/>
      <c r="AW759" s="138"/>
      <c r="AX759" s="140"/>
      <c r="AY759" s="140"/>
      <c r="AZ759" s="140"/>
      <c r="BA759" s="140"/>
      <c r="BB759" s="140"/>
      <c r="BC759" s="140"/>
    </row>
    <row r="760" ht="15.75" customHeight="1">
      <c r="C760" s="137"/>
      <c r="D760" s="138"/>
      <c r="E760" s="138"/>
      <c r="F760" s="138"/>
      <c r="J760" s="138"/>
      <c r="K760" s="138"/>
      <c r="L760" s="138"/>
      <c r="M760" s="139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32"/>
      <c r="AE760" s="140"/>
      <c r="AF760" s="140"/>
      <c r="AG760" s="140"/>
      <c r="AH760" s="140"/>
      <c r="AI760" s="140"/>
      <c r="AJ760" s="141"/>
      <c r="AK760" s="140"/>
      <c r="AL760" s="140"/>
      <c r="AM760" s="140"/>
      <c r="AN760" s="140"/>
      <c r="AO760" s="140"/>
      <c r="AP760" s="140"/>
      <c r="AQ760" s="138"/>
      <c r="AR760" s="140"/>
      <c r="AS760" s="140"/>
      <c r="AT760" s="140"/>
      <c r="AU760" s="140"/>
      <c r="AV760" s="138"/>
      <c r="AW760" s="138"/>
      <c r="AX760" s="140"/>
      <c r="AY760" s="140"/>
      <c r="AZ760" s="140"/>
      <c r="BA760" s="140"/>
      <c r="BB760" s="140"/>
      <c r="BC760" s="140"/>
    </row>
    <row r="761" ht="15.75" customHeight="1">
      <c r="C761" s="137"/>
      <c r="D761" s="138"/>
      <c r="E761" s="138"/>
      <c r="F761" s="138"/>
      <c r="J761" s="138"/>
      <c r="K761" s="138"/>
      <c r="L761" s="138"/>
      <c r="M761" s="139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32"/>
      <c r="AE761" s="140"/>
      <c r="AF761" s="140"/>
      <c r="AG761" s="140"/>
      <c r="AH761" s="140"/>
      <c r="AI761" s="140"/>
      <c r="AJ761" s="141"/>
      <c r="AK761" s="140"/>
      <c r="AL761" s="140"/>
      <c r="AM761" s="140"/>
      <c r="AN761" s="140"/>
      <c r="AO761" s="140"/>
      <c r="AP761" s="140"/>
      <c r="AQ761" s="138"/>
      <c r="AR761" s="140"/>
      <c r="AS761" s="140"/>
      <c r="AT761" s="140"/>
      <c r="AU761" s="140"/>
      <c r="AV761" s="138"/>
      <c r="AW761" s="138"/>
      <c r="AX761" s="140"/>
      <c r="AY761" s="140"/>
      <c r="AZ761" s="140"/>
      <c r="BA761" s="140"/>
      <c r="BB761" s="140"/>
      <c r="BC761" s="140"/>
    </row>
    <row r="762" ht="15.75" customHeight="1">
      <c r="C762" s="137"/>
      <c r="D762" s="138"/>
      <c r="E762" s="138"/>
      <c r="F762" s="138"/>
      <c r="J762" s="138"/>
      <c r="K762" s="138"/>
      <c r="L762" s="138"/>
      <c r="M762" s="139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32"/>
      <c r="AE762" s="140"/>
      <c r="AF762" s="140"/>
      <c r="AG762" s="140"/>
      <c r="AH762" s="140"/>
      <c r="AI762" s="140"/>
      <c r="AJ762" s="141"/>
      <c r="AK762" s="140"/>
      <c r="AL762" s="140"/>
      <c r="AM762" s="140"/>
      <c r="AN762" s="140"/>
      <c r="AO762" s="140"/>
      <c r="AP762" s="140"/>
      <c r="AQ762" s="138"/>
      <c r="AR762" s="140"/>
      <c r="AS762" s="140"/>
      <c r="AT762" s="140"/>
      <c r="AU762" s="140"/>
      <c r="AV762" s="138"/>
      <c r="AW762" s="138"/>
      <c r="AX762" s="140"/>
      <c r="AY762" s="140"/>
      <c r="AZ762" s="140"/>
      <c r="BA762" s="140"/>
      <c r="BB762" s="140"/>
      <c r="BC762" s="140"/>
    </row>
    <row r="763" ht="15.75" customHeight="1">
      <c r="C763" s="137"/>
      <c r="D763" s="138"/>
      <c r="E763" s="138"/>
      <c r="F763" s="138"/>
      <c r="J763" s="138"/>
      <c r="K763" s="138"/>
      <c r="L763" s="138"/>
      <c r="M763" s="139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32"/>
      <c r="AE763" s="140"/>
      <c r="AF763" s="140"/>
      <c r="AG763" s="140"/>
      <c r="AH763" s="140"/>
      <c r="AI763" s="140"/>
      <c r="AJ763" s="141"/>
      <c r="AK763" s="140"/>
      <c r="AL763" s="140"/>
      <c r="AM763" s="140"/>
      <c r="AN763" s="140"/>
      <c r="AO763" s="140"/>
      <c r="AP763" s="140"/>
      <c r="AQ763" s="138"/>
      <c r="AR763" s="140"/>
      <c r="AS763" s="140"/>
      <c r="AT763" s="140"/>
      <c r="AU763" s="140"/>
      <c r="AV763" s="138"/>
      <c r="AW763" s="138"/>
      <c r="AX763" s="140"/>
      <c r="AY763" s="140"/>
      <c r="AZ763" s="140"/>
      <c r="BA763" s="140"/>
      <c r="BB763" s="140"/>
      <c r="BC763" s="140"/>
    </row>
    <row r="764" ht="15.75" customHeight="1">
      <c r="C764" s="137"/>
      <c r="D764" s="138"/>
      <c r="E764" s="138"/>
      <c r="F764" s="138"/>
      <c r="J764" s="138"/>
      <c r="K764" s="138"/>
      <c r="L764" s="138"/>
      <c r="M764" s="139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32"/>
      <c r="AE764" s="140"/>
      <c r="AF764" s="140"/>
      <c r="AG764" s="140"/>
      <c r="AH764" s="140"/>
      <c r="AI764" s="140"/>
      <c r="AJ764" s="141"/>
      <c r="AK764" s="140"/>
      <c r="AL764" s="140"/>
      <c r="AM764" s="140"/>
      <c r="AN764" s="140"/>
      <c r="AO764" s="140"/>
      <c r="AP764" s="140"/>
      <c r="AQ764" s="138"/>
      <c r="AR764" s="140"/>
      <c r="AS764" s="140"/>
      <c r="AT764" s="140"/>
      <c r="AU764" s="140"/>
      <c r="AV764" s="138"/>
      <c r="AW764" s="138"/>
      <c r="AX764" s="140"/>
      <c r="AY764" s="140"/>
      <c r="AZ764" s="140"/>
      <c r="BA764" s="140"/>
      <c r="BB764" s="140"/>
      <c r="BC764" s="140"/>
    </row>
    <row r="765" ht="15.75" customHeight="1">
      <c r="C765" s="137"/>
      <c r="D765" s="138"/>
      <c r="E765" s="138"/>
      <c r="F765" s="138"/>
      <c r="J765" s="138"/>
      <c r="K765" s="138"/>
      <c r="L765" s="138"/>
      <c r="M765" s="139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32"/>
      <c r="AE765" s="140"/>
      <c r="AF765" s="140"/>
      <c r="AG765" s="140"/>
      <c r="AH765" s="140"/>
      <c r="AI765" s="140"/>
      <c r="AJ765" s="141"/>
      <c r="AK765" s="140"/>
      <c r="AL765" s="140"/>
      <c r="AM765" s="140"/>
      <c r="AN765" s="140"/>
      <c r="AO765" s="140"/>
      <c r="AP765" s="140"/>
      <c r="AQ765" s="138"/>
      <c r="AR765" s="140"/>
      <c r="AS765" s="140"/>
      <c r="AT765" s="140"/>
      <c r="AU765" s="140"/>
      <c r="AV765" s="138"/>
      <c r="AW765" s="138"/>
      <c r="AX765" s="140"/>
      <c r="AY765" s="140"/>
      <c r="AZ765" s="140"/>
      <c r="BA765" s="140"/>
      <c r="BB765" s="140"/>
      <c r="BC765" s="140"/>
    </row>
    <row r="766" ht="15.75" customHeight="1">
      <c r="C766" s="137"/>
      <c r="D766" s="138"/>
      <c r="E766" s="138"/>
      <c r="F766" s="138"/>
      <c r="J766" s="138"/>
      <c r="K766" s="138"/>
      <c r="L766" s="138"/>
      <c r="M766" s="139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32"/>
      <c r="AE766" s="140"/>
      <c r="AF766" s="140"/>
      <c r="AG766" s="140"/>
      <c r="AH766" s="140"/>
      <c r="AI766" s="140"/>
      <c r="AJ766" s="141"/>
      <c r="AK766" s="140"/>
      <c r="AL766" s="140"/>
      <c r="AM766" s="140"/>
      <c r="AN766" s="140"/>
      <c r="AO766" s="140"/>
      <c r="AP766" s="140"/>
      <c r="AQ766" s="138"/>
      <c r="AR766" s="140"/>
      <c r="AS766" s="140"/>
      <c r="AT766" s="140"/>
      <c r="AU766" s="140"/>
      <c r="AV766" s="138"/>
      <c r="AW766" s="138"/>
      <c r="AX766" s="140"/>
      <c r="AY766" s="140"/>
      <c r="AZ766" s="140"/>
      <c r="BA766" s="140"/>
      <c r="BB766" s="140"/>
      <c r="BC766" s="140"/>
    </row>
    <row r="767" ht="15.75" customHeight="1">
      <c r="C767" s="137"/>
      <c r="D767" s="138"/>
      <c r="E767" s="138"/>
      <c r="F767" s="138"/>
      <c r="J767" s="138"/>
      <c r="K767" s="138"/>
      <c r="L767" s="138"/>
      <c r="M767" s="139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32"/>
      <c r="AE767" s="140"/>
      <c r="AF767" s="140"/>
      <c r="AG767" s="140"/>
      <c r="AH767" s="140"/>
      <c r="AI767" s="140"/>
      <c r="AJ767" s="141"/>
      <c r="AK767" s="140"/>
      <c r="AL767" s="140"/>
      <c r="AM767" s="140"/>
      <c r="AN767" s="140"/>
      <c r="AO767" s="140"/>
      <c r="AP767" s="140"/>
      <c r="AQ767" s="138"/>
      <c r="AR767" s="140"/>
      <c r="AS767" s="140"/>
      <c r="AT767" s="140"/>
      <c r="AU767" s="140"/>
      <c r="AV767" s="138"/>
      <c r="AW767" s="138"/>
      <c r="AX767" s="140"/>
      <c r="AY767" s="140"/>
      <c r="AZ767" s="140"/>
      <c r="BA767" s="140"/>
      <c r="BB767" s="140"/>
      <c r="BC767" s="140"/>
    </row>
    <row r="768" ht="15.75" customHeight="1">
      <c r="C768" s="137"/>
      <c r="D768" s="138"/>
      <c r="E768" s="138"/>
      <c r="F768" s="138"/>
      <c r="J768" s="138"/>
      <c r="K768" s="138"/>
      <c r="L768" s="138"/>
      <c r="M768" s="139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32"/>
      <c r="AE768" s="140"/>
      <c r="AF768" s="140"/>
      <c r="AG768" s="140"/>
      <c r="AH768" s="140"/>
      <c r="AI768" s="140"/>
      <c r="AJ768" s="141"/>
      <c r="AK768" s="140"/>
      <c r="AL768" s="140"/>
      <c r="AM768" s="140"/>
      <c r="AN768" s="140"/>
      <c r="AO768" s="140"/>
      <c r="AP768" s="140"/>
      <c r="AQ768" s="138"/>
      <c r="AR768" s="140"/>
      <c r="AS768" s="140"/>
      <c r="AT768" s="140"/>
      <c r="AU768" s="140"/>
      <c r="AV768" s="138"/>
      <c r="AW768" s="138"/>
      <c r="AX768" s="140"/>
      <c r="AY768" s="140"/>
      <c r="AZ768" s="140"/>
      <c r="BA768" s="140"/>
      <c r="BB768" s="140"/>
      <c r="BC768" s="140"/>
    </row>
    <row r="769" ht="15.75" customHeight="1">
      <c r="C769" s="137"/>
      <c r="D769" s="138"/>
      <c r="E769" s="138"/>
      <c r="F769" s="138"/>
      <c r="J769" s="138"/>
      <c r="K769" s="138"/>
      <c r="L769" s="138"/>
      <c r="M769" s="139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32"/>
      <c r="AE769" s="140"/>
      <c r="AF769" s="140"/>
      <c r="AG769" s="140"/>
      <c r="AH769" s="140"/>
      <c r="AI769" s="140"/>
      <c r="AJ769" s="141"/>
      <c r="AK769" s="140"/>
      <c r="AL769" s="140"/>
      <c r="AM769" s="140"/>
      <c r="AN769" s="140"/>
      <c r="AO769" s="140"/>
      <c r="AP769" s="140"/>
      <c r="AQ769" s="138"/>
      <c r="AR769" s="140"/>
      <c r="AS769" s="140"/>
      <c r="AT769" s="140"/>
      <c r="AU769" s="140"/>
      <c r="AV769" s="138"/>
      <c r="AW769" s="138"/>
      <c r="AX769" s="140"/>
      <c r="AY769" s="140"/>
      <c r="AZ769" s="140"/>
      <c r="BA769" s="140"/>
      <c r="BB769" s="140"/>
      <c r="BC769" s="140"/>
    </row>
    <row r="770" ht="15.75" customHeight="1">
      <c r="C770" s="137"/>
      <c r="D770" s="138"/>
      <c r="E770" s="138"/>
      <c r="F770" s="138"/>
      <c r="J770" s="138"/>
      <c r="K770" s="138"/>
      <c r="L770" s="138"/>
      <c r="M770" s="139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32"/>
      <c r="AE770" s="140"/>
      <c r="AF770" s="140"/>
      <c r="AG770" s="140"/>
      <c r="AH770" s="140"/>
      <c r="AI770" s="140"/>
      <c r="AJ770" s="141"/>
      <c r="AK770" s="140"/>
      <c r="AL770" s="140"/>
      <c r="AM770" s="140"/>
      <c r="AN770" s="140"/>
      <c r="AO770" s="140"/>
      <c r="AP770" s="140"/>
      <c r="AQ770" s="138"/>
      <c r="AR770" s="140"/>
      <c r="AS770" s="140"/>
      <c r="AT770" s="140"/>
      <c r="AU770" s="140"/>
      <c r="AV770" s="138"/>
      <c r="AW770" s="138"/>
      <c r="AX770" s="140"/>
      <c r="AY770" s="140"/>
      <c r="AZ770" s="140"/>
      <c r="BA770" s="140"/>
      <c r="BB770" s="140"/>
      <c r="BC770" s="140"/>
    </row>
    <row r="771" ht="15.75" customHeight="1">
      <c r="C771" s="137"/>
      <c r="D771" s="138"/>
      <c r="E771" s="138"/>
      <c r="F771" s="138"/>
      <c r="J771" s="138"/>
      <c r="K771" s="138"/>
      <c r="L771" s="138"/>
      <c r="M771" s="139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32"/>
      <c r="AE771" s="140"/>
      <c r="AF771" s="140"/>
      <c r="AG771" s="140"/>
      <c r="AH771" s="140"/>
      <c r="AI771" s="140"/>
      <c r="AJ771" s="141"/>
      <c r="AK771" s="140"/>
      <c r="AL771" s="140"/>
      <c r="AM771" s="140"/>
      <c r="AN771" s="140"/>
      <c r="AO771" s="140"/>
      <c r="AP771" s="140"/>
      <c r="AQ771" s="138"/>
      <c r="AR771" s="140"/>
      <c r="AS771" s="140"/>
      <c r="AT771" s="140"/>
      <c r="AU771" s="140"/>
      <c r="AV771" s="138"/>
      <c r="AW771" s="138"/>
      <c r="AX771" s="140"/>
      <c r="AY771" s="140"/>
      <c r="AZ771" s="140"/>
      <c r="BA771" s="140"/>
      <c r="BB771" s="140"/>
      <c r="BC771" s="140"/>
    </row>
    <row r="772" ht="15.75" customHeight="1">
      <c r="C772" s="137"/>
      <c r="D772" s="138"/>
      <c r="E772" s="138"/>
      <c r="F772" s="138"/>
      <c r="J772" s="138"/>
      <c r="K772" s="138"/>
      <c r="L772" s="138"/>
      <c r="M772" s="139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32"/>
      <c r="AE772" s="140"/>
      <c r="AF772" s="140"/>
      <c r="AG772" s="140"/>
      <c r="AH772" s="140"/>
      <c r="AI772" s="140"/>
      <c r="AJ772" s="141"/>
      <c r="AK772" s="140"/>
      <c r="AL772" s="140"/>
      <c r="AM772" s="140"/>
      <c r="AN772" s="140"/>
      <c r="AO772" s="140"/>
      <c r="AP772" s="140"/>
      <c r="AQ772" s="138"/>
      <c r="AR772" s="140"/>
      <c r="AS772" s="140"/>
      <c r="AT772" s="140"/>
      <c r="AU772" s="140"/>
      <c r="AV772" s="138"/>
      <c r="AW772" s="138"/>
      <c r="AX772" s="140"/>
      <c r="AY772" s="140"/>
      <c r="AZ772" s="140"/>
      <c r="BA772" s="140"/>
      <c r="BB772" s="140"/>
      <c r="BC772" s="140"/>
    </row>
    <row r="773" ht="15.75" customHeight="1">
      <c r="C773" s="137"/>
      <c r="D773" s="138"/>
      <c r="E773" s="138"/>
      <c r="F773" s="138"/>
      <c r="J773" s="138"/>
      <c r="K773" s="138"/>
      <c r="L773" s="138"/>
      <c r="M773" s="139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32"/>
      <c r="AE773" s="140"/>
      <c r="AF773" s="140"/>
      <c r="AG773" s="140"/>
      <c r="AH773" s="140"/>
      <c r="AI773" s="140"/>
      <c r="AJ773" s="141"/>
      <c r="AK773" s="140"/>
      <c r="AL773" s="140"/>
      <c r="AM773" s="140"/>
      <c r="AN773" s="140"/>
      <c r="AO773" s="140"/>
      <c r="AP773" s="140"/>
      <c r="AQ773" s="138"/>
      <c r="AR773" s="140"/>
      <c r="AS773" s="140"/>
      <c r="AT773" s="140"/>
      <c r="AU773" s="140"/>
      <c r="AV773" s="138"/>
      <c r="AW773" s="138"/>
      <c r="AX773" s="140"/>
      <c r="AY773" s="140"/>
      <c r="AZ773" s="140"/>
      <c r="BA773" s="140"/>
      <c r="BB773" s="140"/>
      <c r="BC773" s="140"/>
    </row>
    <row r="774" ht="15.75" customHeight="1">
      <c r="C774" s="137"/>
      <c r="D774" s="138"/>
      <c r="E774" s="138"/>
      <c r="F774" s="138"/>
      <c r="J774" s="138"/>
      <c r="K774" s="138"/>
      <c r="L774" s="138"/>
      <c r="M774" s="139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32"/>
      <c r="AE774" s="140"/>
      <c r="AF774" s="140"/>
      <c r="AG774" s="140"/>
      <c r="AH774" s="140"/>
      <c r="AI774" s="140"/>
      <c r="AJ774" s="141"/>
      <c r="AK774" s="140"/>
      <c r="AL774" s="140"/>
      <c r="AM774" s="140"/>
      <c r="AN774" s="140"/>
      <c r="AO774" s="140"/>
      <c r="AP774" s="140"/>
      <c r="AQ774" s="138"/>
      <c r="AR774" s="140"/>
      <c r="AS774" s="140"/>
      <c r="AT774" s="140"/>
      <c r="AU774" s="140"/>
      <c r="AV774" s="138"/>
      <c r="AW774" s="138"/>
      <c r="AX774" s="140"/>
      <c r="AY774" s="140"/>
      <c r="AZ774" s="140"/>
      <c r="BA774" s="140"/>
      <c r="BB774" s="140"/>
      <c r="BC774" s="140"/>
    </row>
    <row r="775" ht="15.75" customHeight="1">
      <c r="C775" s="137"/>
      <c r="D775" s="138"/>
      <c r="E775" s="138"/>
      <c r="F775" s="138"/>
      <c r="J775" s="138"/>
      <c r="K775" s="138"/>
      <c r="L775" s="138"/>
      <c r="M775" s="139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32"/>
      <c r="AE775" s="140"/>
      <c r="AF775" s="140"/>
      <c r="AG775" s="140"/>
      <c r="AH775" s="140"/>
      <c r="AI775" s="140"/>
      <c r="AJ775" s="141"/>
      <c r="AK775" s="140"/>
      <c r="AL775" s="140"/>
      <c r="AM775" s="140"/>
      <c r="AN775" s="140"/>
      <c r="AO775" s="140"/>
      <c r="AP775" s="140"/>
      <c r="AQ775" s="138"/>
      <c r="AR775" s="140"/>
      <c r="AS775" s="140"/>
      <c r="AT775" s="140"/>
      <c r="AU775" s="140"/>
      <c r="AV775" s="138"/>
      <c r="AW775" s="138"/>
      <c r="AX775" s="140"/>
      <c r="AY775" s="140"/>
      <c r="AZ775" s="140"/>
      <c r="BA775" s="140"/>
      <c r="BB775" s="140"/>
      <c r="BC775" s="140"/>
    </row>
    <row r="776" ht="15.75" customHeight="1">
      <c r="C776" s="137"/>
      <c r="D776" s="138"/>
      <c r="E776" s="138"/>
      <c r="F776" s="138"/>
      <c r="J776" s="138"/>
      <c r="K776" s="138"/>
      <c r="L776" s="138"/>
      <c r="M776" s="139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32"/>
      <c r="AE776" s="140"/>
      <c r="AF776" s="140"/>
      <c r="AG776" s="140"/>
      <c r="AH776" s="140"/>
      <c r="AI776" s="140"/>
      <c r="AJ776" s="141"/>
      <c r="AK776" s="140"/>
      <c r="AL776" s="140"/>
      <c r="AM776" s="140"/>
      <c r="AN776" s="140"/>
      <c r="AO776" s="140"/>
      <c r="AP776" s="140"/>
      <c r="AQ776" s="138"/>
      <c r="AR776" s="140"/>
      <c r="AS776" s="140"/>
      <c r="AT776" s="140"/>
      <c r="AU776" s="140"/>
      <c r="AV776" s="138"/>
      <c r="AW776" s="138"/>
      <c r="AX776" s="140"/>
      <c r="AY776" s="140"/>
      <c r="AZ776" s="140"/>
      <c r="BA776" s="140"/>
      <c r="BB776" s="140"/>
      <c r="BC776" s="140"/>
    </row>
    <row r="777" ht="15.75" customHeight="1">
      <c r="C777" s="137"/>
      <c r="D777" s="138"/>
      <c r="E777" s="138"/>
      <c r="F777" s="138"/>
      <c r="J777" s="138"/>
      <c r="K777" s="138"/>
      <c r="L777" s="138"/>
      <c r="M777" s="139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32"/>
      <c r="AE777" s="140"/>
      <c r="AF777" s="140"/>
      <c r="AG777" s="140"/>
      <c r="AH777" s="140"/>
      <c r="AI777" s="140"/>
      <c r="AJ777" s="141"/>
      <c r="AK777" s="140"/>
      <c r="AL777" s="140"/>
      <c r="AM777" s="140"/>
      <c r="AN777" s="140"/>
      <c r="AO777" s="140"/>
      <c r="AP777" s="140"/>
      <c r="AQ777" s="138"/>
      <c r="AR777" s="140"/>
      <c r="AS777" s="140"/>
      <c r="AT777" s="140"/>
      <c r="AU777" s="140"/>
      <c r="AV777" s="138"/>
      <c r="AW777" s="138"/>
      <c r="AX777" s="140"/>
      <c r="AY777" s="140"/>
      <c r="AZ777" s="140"/>
      <c r="BA777" s="140"/>
      <c r="BB777" s="140"/>
      <c r="BC777" s="140"/>
    </row>
    <row r="778" ht="15.75" customHeight="1">
      <c r="C778" s="137"/>
      <c r="D778" s="138"/>
      <c r="E778" s="138"/>
      <c r="F778" s="138"/>
      <c r="J778" s="138"/>
      <c r="K778" s="138"/>
      <c r="L778" s="138"/>
      <c r="M778" s="139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32"/>
      <c r="AE778" s="140"/>
      <c r="AF778" s="140"/>
      <c r="AG778" s="140"/>
      <c r="AH778" s="140"/>
      <c r="AI778" s="140"/>
      <c r="AJ778" s="141"/>
      <c r="AK778" s="140"/>
      <c r="AL778" s="140"/>
      <c r="AM778" s="140"/>
      <c r="AN778" s="140"/>
      <c r="AO778" s="140"/>
      <c r="AP778" s="140"/>
      <c r="AQ778" s="138"/>
      <c r="AR778" s="140"/>
      <c r="AS778" s="140"/>
      <c r="AT778" s="140"/>
      <c r="AU778" s="140"/>
      <c r="AV778" s="138"/>
      <c r="AW778" s="138"/>
      <c r="AX778" s="140"/>
      <c r="AY778" s="140"/>
      <c r="AZ778" s="140"/>
      <c r="BA778" s="140"/>
      <c r="BB778" s="140"/>
      <c r="BC778" s="140"/>
    </row>
    <row r="779" ht="15.75" customHeight="1">
      <c r="C779" s="137"/>
      <c r="D779" s="138"/>
      <c r="E779" s="138"/>
      <c r="F779" s="138"/>
      <c r="J779" s="138"/>
      <c r="K779" s="138"/>
      <c r="L779" s="138"/>
      <c r="M779" s="139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32"/>
      <c r="AE779" s="140"/>
      <c r="AF779" s="140"/>
      <c r="AG779" s="140"/>
      <c r="AH779" s="140"/>
      <c r="AI779" s="140"/>
      <c r="AJ779" s="141"/>
      <c r="AK779" s="140"/>
      <c r="AL779" s="140"/>
      <c r="AM779" s="140"/>
      <c r="AN779" s="140"/>
      <c r="AO779" s="140"/>
      <c r="AP779" s="140"/>
      <c r="AQ779" s="138"/>
      <c r="AR779" s="140"/>
      <c r="AS779" s="140"/>
      <c r="AT779" s="140"/>
      <c r="AU779" s="140"/>
      <c r="AV779" s="138"/>
      <c r="AW779" s="138"/>
      <c r="AX779" s="140"/>
      <c r="AY779" s="140"/>
      <c r="AZ779" s="140"/>
      <c r="BA779" s="140"/>
      <c r="BB779" s="140"/>
      <c r="BC779" s="140"/>
    </row>
    <row r="780" ht="15.75" customHeight="1">
      <c r="C780" s="137"/>
      <c r="D780" s="138"/>
      <c r="E780" s="138"/>
      <c r="F780" s="138"/>
      <c r="J780" s="138"/>
      <c r="K780" s="138"/>
      <c r="L780" s="138"/>
      <c r="M780" s="139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32"/>
      <c r="AE780" s="140"/>
      <c r="AF780" s="140"/>
      <c r="AG780" s="140"/>
      <c r="AH780" s="140"/>
      <c r="AI780" s="140"/>
      <c r="AJ780" s="141"/>
      <c r="AK780" s="140"/>
      <c r="AL780" s="140"/>
      <c r="AM780" s="140"/>
      <c r="AN780" s="140"/>
      <c r="AO780" s="140"/>
      <c r="AP780" s="140"/>
      <c r="AQ780" s="138"/>
      <c r="AR780" s="140"/>
      <c r="AS780" s="140"/>
      <c r="AT780" s="140"/>
      <c r="AU780" s="140"/>
      <c r="AV780" s="138"/>
      <c r="AW780" s="138"/>
      <c r="AX780" s="140"/>
      <c r="AY780" s="140"/>
      <c r="AZ780" s="140"/>
      <c r="BA780" s="140"/>
      <c r="BB780" s="140"/>
      <c r="BC780" s="140"/>
    </row>
    <row r="781" ht="15.75" customHeight="1">
      <c r="C781" s="137"/>
      <c r="D781" s="138"/>
      <c r="E781" s="138"/>
      <c r="F781" s="138"/>
      <c r="J781" s="138"/>
      <c r="K781" s="138"/>
      <c r="L781" s="138"/>
      <c r="M781" s="139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32"/>
      <c r="AE781" s="140"/>
      <c r="AF781" s="140"/>
      <c r="AG781" s="140"/>
      <c r="AH781" s="140"/>
      <c r="AI781" s="140"/>
      <c r="AJ781" s="141"/>
      <c r="AK781" s="140"/>
      <c r="AL781" s="140"/>
      <c r="AM781" s="140"/>
      <c r="AN781" s="140"/>
      <c r="AO781" s="140"/>
      <c r="AP781" s="140"/>
      <c r="AQ781" s="138"/>
      <c r="AR781" s="140"/>
      <c r="AS781" s="140"/>
      <c r="AT781" s="140"/>
      <c r="AU781" s="140"/>
      <c r="AV781" s="138"/>
      <c r="AW781" s="138"/>
      <c r="AX781" s="140"/>
      <c r="AY781" s="140"/>
      <c r="AZ781" s="140"/>
      <c r="BA781" s="140"/>
      <c r="BB781" s="140"/>
      <c r="BC781" s="140"/>
    </row>
    <row r="782" ht="15.75" customHeight="1">
      <c r="C782" s="137"/>
      <c r="D782" s="138"/>
      <c r="E782" s="138"/>
      <c r="F782" s="138"/>
      <c r="J782" s="138"/>
      <c r="K782" s="138"/>
      <c r="L782" s="138"/>
      <c r="M782" s="139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32"/>
      <c r="AE782" s="140"/>
      <c r="AF782" s="140"/>
      <c r="AG782" s="140"/>
      <c r="AH782" s="140"/>
      <c r="AI782" s="140"/>
      <c r="AJ782" s="141"/>
      <c r="AK782" s="140"/>
      <c r="AL782" s="140"/>
      <c r="AM782" s="140"/>
      <c r="AN782" s="140"/>
      <c r="AO782" s="140"/>
      <c r="AP782" s="140"/>
      <c r="AQ782" s="138"/>
      <c r="AR782" s="140"/>
      <c r="AS782" s="140"/>
      <c r="AT782" s="140"/>
      <c r="AU782" s="140"/>
      <c r="AV782" s="138"/>
      <c r="AW782" s="138"/>
      <c r="AX782" s="140"/>
      <c r="AY782" s="140"/>
      <c r="AZ782" s="140"/>
      <c r="BA782" s="140"/>
      <c r="BB782" s="140"/>
      <c r="BC782" s="140"/>
    </row>
    <row r="783" ht="15.75" customHeight="1">
      <c r="C783" s="137"/>
      <c r="D783" s="138"/>
      <c r="E783" s="138"/>
      <c r="F783" s="138"/>
      <c r="J783" s="138"/>
      <c r="K783" s="138"/>
      <c r="L783" s="138"/>
      <c r="M783" s="139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32"/>
      <c r="AE783" s="140"/>
      <c r="AF783" s="140"/>
      <c r="AG783" s="140"/>
      <c r="AH783" s="140"/>
      <c r="AI783" s="140"/>
      <c r="AJ783" s="141"/>
      <c r="AK783" s="140"/>
      <c r="AL783" s="140"/>
      <c r="AM783" s="140"/>
      <c r="AN783" s="140"/>
      <c r="AO783" s="140"/>
      <c r="AP783" s="140"/>
      <c r="AQ783" s="138"/>
      <c r="AR783" s="140"/>
      <c r="AS783" s="140"/>
      <c r="AT783" s="140"/>
      <c r="AU783" s="140"/>
      <c r="AV783" s="138"/>
      <c r="AW783" s="138"/>
      <c r="AX783" s="140"/>
      <c r="AY783" s="140"/>
      <c r="AZ783" s="140"/>
      <c r="BA783" s="140"/>
      <c r="BB783" s="140"/>
      <c r="BC783" s="140"/>
    </row>
    <row r="784" ht="15.75" customHeight="1">
      <c r="C784" s="137"/>
      <c r="D784" s="138"/>
      <c r="E784" s="138"/>
      <c r="F784" s="138"/>
      <c r="J784" s="138"/>
      <c r="K784" s="138"/>
      <c r="L784" s="138"/>
      <c r="M784" s="139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32"/>
      <c r="AE784" s="140"/>
      <c r="AF784" s="140"/>
      <c r="AG784" s="140"/>
      <c r="AH784" s="140"/>
      <c r="AI784" s="140"/>
      <c r="AJ784" s="141"/>
      <c r="AK784" s="140"/>
      <c r="AL784" s="140"/>
      <c r="AM784" s="140"/>
      <c r="AN784" s="140"/>
      <c r="AO784" s="140"/>
      <c r="AP784" s="140"/>
      <c r="AQ784" s="138"/>
      <c r="AR784" s="140"/>
      <c r="AS784" s="140"/>
      <c r="AT784" s="140"/>
      <c r="AU784" s="140"/>
      <c r="AV784" s="138"/>
      <c r="AW784" s="138"/>
      <c r="AX784" s="140"/>
      <c r="AY784" s="140"/>
      <c r="AZ784" s="140"/>
      <c r="BA784" s="140"/>
      <c r="BB784" s="140"/>
      <c r="BC784" s="140"/>
    </row>
    <row r="785" ht="15.75" customHeight="1">
      <c r="C785" s="137"/>
      <c r="D785" s="138"/>
      <c r="E785" s="138"/>
      <c r="F785" s="138"/>
      <c r="J785" s="138"/>
      <c r="K785" s="138"/>
      <c r="L785" s="138"/>
      <c r="M785" s="139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32"/>
      <c r="AE785" s="140"/>
      <c r="AF785" s="140"/>
      <c r="AG785" s="140"/>
      <c r="AH785" s="140"/>
      <c r="AI785" s="140"/>
      <c r="AJ785" s="141"/>
      <c r="AK785" s="140"/>
      <c r="AL785" s="140"/>
      <c r="AM785" s="140"/>
      <c r="AN785" s="140"/>
      <c r="AO785" s="140"/>
      <c r="AP785" s="140"/>
      <c r="AQ785" s="138"/>
      <c r="AR785" s="140"/>
      <c r="AS785" s="140"/>
      <c r="AT785" s="140"/>
      <c r="AU785" s="140"/>
      <c r="AV785" s="138"/>
      <c r="AW785" s="138"/>
      <c r="AX785" s="140"/>
      <c r="AY785" s="140"/>
      <c r="AZ785" s="140"/>
      <c r="BA785" s="140"/>
      <c r="BB785" s="140"/>
      <c r="BC785" s="140"/>
    </row>
    <row r="786" ht="15.75" customHeight="1">
      <c r="C786" s="137"/>
      <c r="D786" s="138"/>
      <c r="E786" s="138"/>
      <c r="F786" s="138"/>
      <c r="J786" s="138"/>
      <c r="K786" s="138"/>
      <c r="L786" s="138"/>
      <c r="M786" s="139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32"/>
      <c r="AE786" s="140"/>
      <c r="AF786" s="140"/>
      <c r="AG786" s="140"/>
      <c r="AH786" s="140"/>
      <c r="AI786" s="140"/>
      <c r="AJ786" s="141"/>
      <c r="AK786" s="140"/>
      <c r="AL786" s="140"/>
      <c r="AM786" s="140"/>
      <c r="AN786" s="140"/>
      <c r="AO786" s="140"/>
      <c r="AP786" s="140"/>
      <c r="AQ786" s="138"/>
      <c r="AR786" s="140"/>
      <c r="AS786" s="140"/>
      <c r="AT786" s="140"/>
      <c r="AU786" s="140"/>
      <c r="AV786" s="138"/>
      <c r="AW786" s="138"/>
      <c r="AX786" s="140"/>
      <c r="AY786" s="140"/>
      <c r="AZ786" s="140"/>
      <c r="BA786" s="140"/>
      <c r="BB786" s="140"/>
      <c r="BC786" s="140"/>
    </row>
    <row r="787" ht="15.75" customHeight="1">
      <c r="C787" s="137"/>
      <c r="D787" s="138"/>
      <c r="E787" s="138"/>
      <c r="F787" s="138"/>
      <c r="J787" s="138"/>
      <c r="K787" s="138"/>
      <c r="L787" s="138"/>
      <c r="M787" s="139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32"/>
      <c r="AE787" s="140"/>
      <c r="AF787" s="140"/>
      <c r="AG787" s="140"/>
      <c r="AH787" s="140"/>
      <c r="AI787" s="140"/>
      <c r="AJ787" s="141"/>
      <c r="AK787" s="140"/>
      <c r="AL787" s="140"/>
      <c r="AM787" s="140"/>
      <c r="AN787" s="140"/>
      <c r="AO787" s="140"/>
      <c r="AP787" s="140"/>
      <c r="AQ787" s="138"/>
      <c r="AR787" s="140"/>
      <c r="AS787" s="140"/>
      <c r="AT787" s="140"/>
      <c r="AU787" s="140"/>
      <c r="AV787" s="138"/>
      <c r="AW787" s="138"/>
      <c r="AX787" s="140"/>
      <c r="AY787" s="140"/>
      <c r="AZ787" s="140"/>
      <c r="BA787" s="140"/>
      <c r="BB787" s="140"/>
      <c r="BC787" s="140"/>
    </row>
    <row r="788" ht="15.75" customHeight="1">
      <c r="C788" s="137"/>
      <c r="D788" s="138"/>
      <c r="E788" s="138"/>
      <c r="F788" s="138"/>
      <c r="J788" s="138"/>
      <c r="K788" s="138"/>
      <c r="L788" s="138"/>
      <c r="M788" s="139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32"/>
      <c r="AE788" s="140"/>
      <c r="AF788" s="140"/>
      <c r="AG788" s="140"/>
      <c r="AH788" s="140"/>
      <c r="AI788" s="140"/>
      <c r="AJ788" s="141"/>
      <c r="AK788" s="140"/>
      <c r="AL788" s="140"/>
      <c r="AM788" s="140"/>
      <c r="AN788" s="140"/>
      <c r="AO788" s="140"/>
      <c r="AP788" s="140"/>
      <c r="AQ788" s="138"/>
      <c r="AR788" s="140"/>
      <c r="AS788" s="140"/>
      <c r="AT788" s="140"/>
      <c r="AU788" s="140"/>
      <c r="AV788" s="138"/>
      <c r="AW788" s="138"/>
      <c r="AX788" s="140"/>
      <c r="AY788" s="140"/>
      <c r="AZ788" s="140"/>
      <c r="BA788" s="140"/>
      <c r="BB788" s="140"/>
      <c r="BC788" s="140"/>
    </row>
    <row r="789" ht="15.75" customHeight="1">
      <c r="C789" s="137"/>
      <c r="D789" s="138"/>
      <c r="E789" s="138"/>
      <c r="F789" s="138"/>
      <c r="J789" s="138"/>
      <c r="K789" s="138"/>
      <c r="L789" s="138"/>
      <c r="M789" s="139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32"/>
      <c r="AE789" s="140"/>
      <c r="AF789" s="140"/>
      <c r="AG789" s="140"/>
      <c r="AH789" s="140"/>
      <c r="AI789" s="140"/>
      <c r="AJ789" s="141"/>
      <c r="AK789" s="140"/>
      <c r="AL789" s="140"/>
      <c r="AM789" s="140"/>
      <c r="AN789" s="140"/>
      <c r="AO789" s="140"/>
      <c r="AP789" s="140"/>
      <c r="AQ789" s="138"/>
      <c r="AR789" s="140"/>
      <c r="AS789" s="140"/>
      <c r="AT789" s="140"/>
      <c r="AU789" s="140"/>
      <c r="AV789" s="138"/>
      <c r="AW789" s="138"/>
      <c r="AX789" s="140"/>
      <c r="AY789" s="140"/>
      <c r="AZ789" s="140"/>
      <c r="BA789" s="140"/>
      <c r="BB789" s="140"/>
      <c r="BC789" s="140"/>
    </row>
    <row r="790" ht="15.75" customHeight="1">
      <c r="C790" s="137"/>
      <c r="D790" s="138"/>
      <c r="E790" s="138"/>
      <c r="F790" s="138"/>
      <c r="J790" s="138"/>
      <c r="K790" s="138"/>
      <c r="L790" s="138"/>
      <c r="M790" s="139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32"/>
      <c r="AE790" s="140"/>
      <c r="AF790" s="140"/>
      <c r="AG790" s="140"/>
      <c r="AH790" s="140"/>
      <c r="AI790" s="140"/>
      <c r="AJ790" s="141"/>
      <c r="AK790" s="140"/>
      <c r="AL790" s="140"/>
      <c r="AM790" s="140"/>
      <c r="AN790" s="140"/>
      <c r="AO790" s="140"/>
      <c r="AP790" s="140"/>
      <c r="AQ790" s="138"/>
      <c r="AR790" s="140"/>
      <c r="AS790" s="140"/>
      <c r="AT790" s="140"/>
      <c r="AU790" s="140"/>
      <c r="AV790" s="138"/>
      <c r="AW790" s="138"/>
      <c r="AX790" s="140"/>
      <c r="AY790" s="140"/>
      <c r="AZ790" s="140"/>
      <c r="BA790" s="140"/>
      <c r="BB790" s="140"/>
      <c r="BC790" s="140"/>
    </row>
    <row r="791" ht="15.75" customHeight="1">
      <c r="C791" s="137"/>
      <c r="D791" s="138"/>
      <c r="E791" s="138"/>
      <c r="F791" s="138"/>
      <c r="J791" s="138"/>
      <c r="K791" s="138"/>
      <c r="L791" s="138"/>
      <c r="M791" s="139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32"/>
      <c r="AE791" s="140"/>
      <c r="AF791" s="140"/>
      <c r="AG791" s="140"/>
      <c r="AH791" s="140"/>
      <c r="AI791" s="140"/>
      <c r="AJ791" s="141"/>
      <c r="AK791" s="140"/>
      <c r="AL791" s="140"/>
      <c r="AM791" s="140"/>
      <c r="AN791" s="140"/>
      <c r="AO791" s="140"/>
      <c r="AP791" s="140"/>
      <c r="AQ791" s="138"/>
      <c r="AR791" s="140"/>
      <c r="AS791" s="140"/>
      <c r="AT791" s="140"/>
      <c r="AU791" s="140"/>
      <c r="AV791" s="138"/>
      <c r="AW791" s="138"/>
      <c r="AX791" s="140"/>
      <c r="AY791" s="140"/>
      <c r="AZ791" s="140"/>
      <c r="BA791" s="140"/>
      <c r="BB791" s="140"/>
      <c r="BC791" s="140"/>
    </row>
    <row r="792" ht="15.75" customHeight="1">
      <c r="C792" s="137"/>
      <c r="D792" s="138"/>
      <c r="E792" s="138"/>
      <c r="F792" s="138"/>
      <c r="J792" s="138"/>
      <c r="K792" s="138"/>
      <c r="L792" s="138"/>
      <c r="M792" s="139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32"/>
      <c r="AE792" s="140"/>
      <c r="AF792" s="140"/>
      <c r="AG792" s="140"/>
      <c r="AH792" s="140"/>
      <c r="AI792" s="140"/>
      <c r="AJ792" s="141"/>
      <c r="AK792" s="140"/>
      <c r="AL792" s="140"/>
      <c r="AM792" s="140"/>
      <c r="AN792" s="140"/>
      <c r="AO792" s="140"/>
      <c r="AP792" s="140"/>
      <c r="AQ792" s="138"/>
      <c r="AR792" s="140"/>
      <c r="AS792" s="140"/>
      <c r="AT792" s="140"/>
      <c r="AU792" s="140"/>
      <c r="AV792" s="138"/>
      <c r="AW792" s="138"/>
      <c r="AX792" s="140"/>
      <c r="AY792" s="140"/>
      <c r="AZ792" s="140"/>
      <c r="BA792" s="140"/>
      <c r="BB792" s="140"/>
      <c r="BC792" s="140"/>
    </row>
    <row r="793" ht="15.75" customHeight="1">
      <c r="C793" s="137"/>
      <c r="D793" s="138"/>
      <c r="E793" s="138"/>
      <c r="F793" s="138"/>
      <c r="J793" s="138"/>
      <c r="K793" s="138"/>
      <c r="L793" s="138"/>
      <c r="M793" s="139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32"/>
      <c r="AE793" s="140"/>
      <c r="AF793" s="140"/>
      <c r="AG793" s="140"/>
      <c r="AH793" s="140"/>
      <c r="AI793" s="140"/>
      <c r="AJ793" s="141"/>
      <c r="AK793" s="140"/>
      <c r="AL793" s="140"/>
      <c r="AM793" s="140"/>
      <c r="AN793" s="140"/>
      <c r="AO793" s="140"/>
      <c r="AP793" s="140"/>
      <c r="AQ793" s="138"/>
      <c r="AR793" s="140"/>
      <c r="AS793" s="140"/>
      <c r="AT793" s="140"/>
      <c r="AU793" s="140"/>
      <c r="AV793" s="138"/>
      <c r="AW793" s="138"/>
      <c r="AX793" s="140"/>
      <c r="AY793" s="140"/>
      <c r="AZ793" s="140"/>
      <c r="BA793" s="140"/>
      <c r="BB793" s="140"/>
      <c r="BC793" s="140"/>
    </row>
    <row r="794" ht="15.75" customHeight="1">
      <c r="C794" s="137"/>
      <c r="D794" s="138"/>
      <c r="E794" s="138"/>
      <c r="F794" s="138"/>
      <c r="J794" s="138"/>
      <c r="K794" s="138"/>
      <c r="L794" s="138"/>
      <c r="M794" s="139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32"/>
      <c r="AE794" s="140"/>
      <c r="AF794" s="140"/>
      <c r="AG794" s="140"/>
      <c r="AH794" s="140"/>
      <c r="AI794" s="140"/>
      <c r="AJ794" s="141"/>
      <c r="AK794" s="140"/>
      <c r="AL794" s="140"/>
      <c r="AM794" s="140"/>
      <c r="AN794" s="140"/>
      <c r="AO794" s="140"/>
      <c r="AP794" s="140"/>
      <c r="AQ794" s="138"/>
      <c r="AR794" s="140"/>
      <c r="AS794" s="140"/>
      <c r="AT794" s="140"/>
      <c r="AU794" s="140"/>
      <c r="AV794" s="138"/>
      <c r="AW794" s="138"/>
      <c r="AX794" s="140"/>
      <c r="AY794" s="140"/>
      <c r="AZ794" s="140"/>
      <c r="BA794" s="140"/>
      <c r="BB794" s="140"/>
      <c r="BC794" s="140"/>
    </row>
    <row r="795" ht="15.75" customHeight="1">
      <c r="C795" s="137"/>
      <c r="D795" s="138"/>
      <c r="E795" s="138"/>
      <c r="F795" s="138"/>
      <c r="J795" s="138"/>
      <c r="K795" s="138"/>
      <c r="L795" s="138"/>
      <c r="M795" s="139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32"/>
      <c r="AE795" s="140"/>
      <c r="AF795" s="140"/>
      <c r="AG795" s="140"/>
      <c r="AH795" s="140"/>
      <c r="AI795" s="140"/>
      <c r="AJ795" s="141"/>
      <c r="AK795" s="140"/>
      <c r="AL795" s="140"/>
      <c r="AM795" s="140"/>
      <c r="AN795" s="140"/>
      <c r="AO795" s="140"/>
      <c r="AP795" s="140"/>
      <c r="AQ795" s="138"/>
      <c r="AR795" s="140"/>
      <c r="AS795" s="140"/>
      <c r="AT795" s="140"/>
      <c r="AU795" s="140"/>
      <c r="AV795" s="138"/>
      <c r="AW795" s="138"/>
      <c r="AX795" s="140"/>
      <c r="AY795" s="140"/>
      <c r="AZ795" s="140"/>
      <c r="BA795" s="140"/>
      <c r="BB795" s="140"/>
      <c r="BC795" s="140"/>
    </row>
    <row r="796" ht="15.75" customHeight="1">
      <c r="C796" s="137"/>
      <c r="D796" s="138"/>
      <c r="E796" s="138"/>
      <c r="F796" s="138"/>
      <c r="J796" s="138"/>
      <c r="K796" s="138"/>
      <c r="L796" s="138"/>
      <c r="M796" s="139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32"/>
      <c r="AE796" s="140"/>
      <c r="AF796" s="140"/>
      <c r="AG796" s="140"/>
      <c r="AH796" s="140"/>
      <c r="AI796" s="140"/>
      <c r="AJ796" s="141"/>
      <c r="AK796" s="140"/>
      <c r="AL796" s="140"/>
      <c r="AM796" s="140"/>
      <c r="AN796" s="140"/>
      <c r="AO796" s="140"/>
      <c r="AP796" s="140"/>
      <c r="AQ796" s="138"/>
      <c r="AR796" s="140"/>
      <c r="AS796" s="140"/>
      <c r="AT796" s="140"/>
      <c r="AU796" s="140"/>
      <c r="AV796" s="138"/>
      <c r="AW796" s="138"/>
      <c r="AX796" s="140"/>
      <c r="AY796" s="140"/>
      <c r="AZ796" s="140"/>
      <c r="BA796" s="140"/>
      <c r="BB796" s="140"/>
      <c r="BC796" s="140"/>
    </row>
    <row r="797" ht="15.75" customHeight="1">
      <c r="C797" s="137"/>
      <c r="D797" s="138"/>
      <c r="E797" s="138"/>
      <c r="F797" s="138"/>
      <c r="J797" s="138"/>
      <c r="K797" s="138"/>
      <c r="L797" s="138"/>
      <c r="M797" s="139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32"/>
      <c r="AE797" s="140"/>
      <c r="AF797" s="140"/>
      <c r="AG797" s="140"/>
      <c r="AH797" s="140"/>
      <c r="AI797" s="140"/>
      <c r="AJ797" s="141"/>
      <c r="AK797" s="140"/>
      <c r="AL797" s="140"/>
      <c r="AM797" s="140"/>
      <c r="AN797" s="140"/>
      <c r="AO797" s="140"/>
      <c r="AP797" s="140"/>
      <c r="AQ797" s="138"/>
      <c r="AR797" s="140"/>
      <c r="AS797" s="140"/>
      <c r="AT797" s="140"/>
      <c r="AU797" s="140"/>
      <c r="AV797" s="138"/>
      <c r="AW797" s="138"/>
      <c r="AX797" s="140"/>
      <c r="AY797" s="140"/>
      <c r="AZ797" s="140"/>
      <c r="BA797" s="140"/>
      <c r="BB797" s="140"/>
      <c r="BC797" s="140"/>
    </row>
    <row r="798" ht="15.75" customHeight="1">
      <c r="C798" s="137"/>
      <c r="D798" s="138"/>
      <c r="E798" s="138"/>
      <c r="F798" s="138"/>
      <c r="J798" s="138"/>
      <c r="K798" s="138"/>
      <c r="L798" s="138"/>
      <c r="M798" s="139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32"/>
      <c r="AE798" s="140"/>
      <c r="AF798" s="140"/>
      <c r="AG798" s="140"/>
      <c r="AH798" s="140"/>
      <c r="AI798" s="140"/>
      <c r="AJ798" s="141"/>
      <c r="AK798" s="140"/>
      <c r="AL798" s="140"/>
      <c r="AM798" s="140"/>
      <c r="AN798" s="140"/>
      <c r="AO798" s="140"/>
      <c r="AP798" s="140"/>
      <c r="AQ798" s="138"/>
      <c r="AR798" s="140"/>
      <c r="AS798" s="140"/>
      <c r="AT798" s="140"/>
      <c r="AU798" s="140"/>
      <c r="AV798" s="138"/>
      <c r="AW798" s="138"/>
      <c r="AX798" s="140"/>
      <c r="AY798" s="140"/>
      <c r="AZ798" s="140"/>
      <c r="BA798" s="140"/>
      <c r="BB798" s="140"/>
      <c r="BC798" s="140"/>
    </row>
    <row r="799" ht="15.75" customHeight="1">
      <c r="C799" s="137"/>
      <c r="D799" s="138"/>
      <c r="E799" s="138"/>
      <c r="F799" s="138"/>
      <c r="J799" s="138"/>
      <c r="K799" s="138"/>
      <c r="L799" s="138"/>
      <c r="M799" s="139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32"/>
      <c r="AE799" s="140"/>
      <c r="AF799" s="140"/>
      <c r="AG799" s="140"/>
      <c r="AH799" s="140"/>
      <c r="AI799" s="140"/>
      <c r="AJ799" s="141"/>
      <c r="AK799" s="140"/>
      <c r="AL799" s="140"/>
      <c r="AM799" s="140"/>
      <c r="AN799" s="140"/>
      <c r="AO799" s="140"/>
      <c r="AP799" s="140"/>
      <c r="AQ799" s="138"/>
      <c r="AR799" s="140"/>
      <c r="AS799" s="140"/>
      <c r="AT799" s="140"/>
      <c r="AU799" s="140"/>
      <c r="AV799" s="138"/>
      <c r="AW799" s="138"/>
      <c r="AX799" s="140"/>
      <c r="AY799" s="140"/>
      <c r="AZ799" s="140"/>
      <c r="BA799" s="140"/>
      <c r="BB799" s="140"/>
      <c r="BC799" s="140"/>
    </row>
    <row r="800" ht="15.75" customHeight="1">
      <c r="C800" s="137"/>
      <c r="D800" s="138"/>
      <c r="E800" s="138"/>
      <c r="F800" s="138"/>
      <c r="J800" s="138"/>
      <c r="K800" s="138"/>
      <c r="L800" s="138"/>
      <c r="M800" s="139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32"/>
      <c r="AE800" s="140"/>
      <c r="AF800" s="140"/>
      <c r="AG800" s="140"/>
      <c r="AH800" s="140"/>
      <c r="AI800" s="140"/>
      <c r="AJ800" s="141"/>
      <c r="AK800" s="140"/>
      <c r="AL800" s="140"/>
      <c r="AM800" s="140"/>
      <c r="AN800" s="140"/>
      <c r="AO800" s="140"/>
      <c r="AP800" s="140"/>
      <c r="AQ800" s="138"/>
      <c r="AR800" s="140"/>
      <c r="AS800" s="140"/>
      <c r="AT800" s="140"/>
      <c r="AU800" s="140"/>
      <c r="AV800" s="138"/>
      <c r="AW800" s="138"/>
      <c r="AX800" s="140"/>
      <c r="AY800" s="140"/>
      <c r="AZ800" s="140"/>
      <c r="BA800" s="140"/>
      <c r="BB800" s="140"/>
      <c r="BC800" s="140"/>
    </row>
    <row r="801" ht="15.75" customHeight="1">
      <c r="C801" s="137"/>
      <c r="D801" s="138"/>
      <c r="E801" s="138"/>
      <c r="F801" s="138"/>
      <c r="J801" s="138"/>
      <c r="K801" s="138"/>
      <c r="L801" s="138"/>
      <c r="M801" s="139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32"/>
      <c r="AE801" s="140"/>
      <c r="AF801" s="140"/>
      <c r="AG801" s="140"/>
      <c r="AH801" s="140"/>
      <c r="AI801" s="140"/>
      <c r="AJ801" s="141"/>
      <c r="AK801" s="140"/>
      <c r="AL801" s="140"/>
      <c r="AM801" s="140"/>
      <c r="AN801" s="140"/>
      <c r="AO801" s="140"/>
      <c r="AP801" s="140"/>
      <c r="AQ801" s="138"/>
      <c r="AR801" s="140"/>
      <c r="AS801" s="140"/>
      <c r="AT801" s="140"/>
      <c r="AU801" s="140"/>
      <c r="AV801" s="138"/>
      <c r="AW801" s="138"/>
      <c r="AX801" s="140"/>
      <c r="AY801" s="140"/>
      <c r="AZ801" s="140"/>
      <c r="BA801" s="140"/>
      <c r="BB801" s="140"/>
      <c r="BC801" s="140"/>
    </row>
    <row r="802" ht="15.75" customHeight="1">
      <c r="C802" s="137"/>
      <c r="D802" s="138"/>
      <c r="E802" s="138"/>
      <c r="F802" s="138"/>
      <c r="J802" s="138"/>
      <c r="K802" s="138"/>
      <c r="L802" s="138"/>
      <c r="M802" s="139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32"/>
      <c r="AE802" s="140"/>
      <c r="AF802" s="140"/>
      <c r="AG802" s="140"/>
      <c r="AH802" s="140"/>
      <c r="AI802" s="140"/>
      <c r="AJ802" s="141"/>
      <c r="AK802" s="140"/>
      <c r="AL802" s="140"/>
      <c r="AM802" s="140"/>
      <c r="AN802" s="140"/>
      <c r="AO802" s="140"/>
      <c r="AP802" s="140"/>
      <c r="AQ802" s="138"/>
      <c r="AR802" s="140"/>
      <c r="AS802" s="140"/>
      <c r="AT802" s="140"/>
      <c r="AU802" s="140"/>
      <c r="AV802" s="138"/>
      <c r="AW802" s="138"/>
      <c r="AX802" s="140"/>
      <c r="AY802" s="140"/>
      <c r="AZ802" s="140"/>
      <c r="BA802" s="140"/>
      <c r="BB802" s="140"/>
      <c r="BC802" s="140"/>
    </row>
    <row r="803" ht="15.75" customHeight="1">
      <c r="C803" s="137"/>
      <c r="D803" s="138"/>
      <c r="E803" s="138"/>
      <c r="F803" s="138"/>
      <c r="J803" s="138"/>
      <c r="K803" s="138"/>
      <c r="L803" s="138"/>
      <c r="M803" s="139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32"/>
      <c r="AE803" s="140"/>
      <c r="AF803" s="140"/>
      <c r="AG803" s="140"/>
      <c r="AH803" s="140"/>
      <c r="AI803" s="140"/>
      <c r="AJ803" s="141"/>
      <c r="AK803" s="140"/>
      <c r="AL803" s="140"/>
      <c r="AM803" s="140"/>
      <c r="AN803" s="140"/>
      <c r="AO803" s="140"/>
      <c r="AP803" s="140"/>
      <c r="AQ803" s="138"/>
      <c r="AR803" s="140"/>
      <c r="AS803" s="140"/>
      <c r="AT803" s="140"/>
      <c r="AU803" s="140"/>
      <c r="AV803" s="138"/>
      <c r="AW803" s="138"/>
      <c r="AX803" s="140"/>
      <c r="AY803" s="140"/>
      <c r="AZ803" s="140"/>
      <c r="BA803" s="140"/>
      <c r="BB803" s="140"/>
      <c r="BC803" s="140"/>
    </row>
    <row r="804" ht="15.75" customHeight="1">
      <c r="C804" s="137"/>
      <c r="D804" s="138"/>
      <c r="E804" s="138"/>
      <c r="F804" s="138"/>
      <c r="J804" s="138"/>
      <c r="K804" s="138"/>
      <c r="L804" s="138"/>
      <c r="M804" s="139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32"/>
      <c r="AE804" s="140"/>
      <c r="AF804" s="140"/>
      <c r="AG804" s="140"/>
      <c r="AH804" s="140"/>
      <c r="AI804" s="140"/>
      <c r="AJ804" s="141"/>
      <c r="AK804" s="140"/>
      <c r="AL804" s="140"/>
      <c r="AM804" s="140"/>
      <c r="AN804" s="140"/>
      <c r="AO804" s="140"/>
      <c r="AP804" s="140"/>
      <c r="AQ804" s="138"/>
      <c r="AR804" s="140"/>
      <c r="AS804" s="140"/>
      <c r="AT804" s="140"/>
      <c r="AU804" s="140"/>
      <c r="AV804" s="138"/>
      <c r="AW804" s="138"/>
      <c r="AX804" s="140"/>
      <c r="AY804" s="140"/>
      <c r="AZ804" s="140"/>
      <c r="BA804" s="140"/>
      <c r="BB804" s="140"/>
      <c r="BC804" s="140"/>
    </row>
    <row r="805" ht="15.75" customHeight="1">
      <c r="C805" s="137"/>
      <c r="D805" s="138"/>
      <c r="E805" s="138"/>
      <c r="F805" s="138"/>
      <c r="J805" s="138"/>
      <c r="K805" s="138"/>
      <c r="L805" s="138"/>
      <c r="M805" s="139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32"/>
      <c r="AE805" s="140"/>
      <c r="AF805" s="140"/>
      <c r="AG805" s="140"/>
      <c r="AH805" s="140"/>
      <c r="AI805" s="140"/>
      <c r="AJ805" s="141"/>
      <c r="AK805" s="140"/>
      <c r="AL805" s="140"/>
      <c r="AM805" s="140"/>
      <c r="AN805" s="140"/>
      <c r="AO805" s="140"/>
      <c r="AP805" s="140"/>
      <c r="AQ805" s="138"/>
      <c r="AR805" s="140"/>
      <c r="AS805" s="140"/>
      <c r="AT805" s="140"/>
      <c r="AU805" s="140"/>
      <c r="AV805" s="138"/>
      <c r="AW805" s="138"/>
      <c r="AX805" s="140"/>
      <c r="AY805" s="140"/>
      <c r="AZ805" s="140"/>
      <c r="BA805" s="140"/>
      <c r="BB805" s="140"/>
      <c r="BC805" s="140"/>
    </row>
    <row r="806" ht="15.75" customHeight="1">
      <c r="C806" s="137"/>
      <c r="D806" s="138"/>
      <c r="E806" s="138"/>
      <c r="F806" s="138"/>
      <c r="J806" s="138"/>
      <c r="K806" s="138"/>
      <c r="L806" s="138"/>
      <c r="M806" s="139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32"/>
      <c r="AE806" s="140"/>
      <c r="AF806" s="140"/>
      <c r="AG806" s="140"/>
      <c r="AH806" s="140"/>
      <c r="AI806" s="140"/>
      <c r="AJ806" s="141"/>
      <c r="AK806" s="140"/>
      <c r="AL806" s="140"/>
      <c r="AM806" s="140"/>
      <c r="AN806" s="140"/>
      <c r="AO806" s="140"/>
      <c r="AP806" s="140"/>
      <c r="AQ806" s="138"/>
      <c r="AR806" s="140"/>
      <c r="AS806" s="140"/>
      <c r="AT806" s="140"/>
      <c r="AU806" s="140"/>
      <c r="AV806" s="138"/>
      <c r="AW806" s="138"/>
      <c r="AX806" s="140"/>
      <c r="AY806" s="140"/>
      <c r="AZ806" s="140"/>
      <c r="BA806" s="140"/>
      <c r="BB806" s="140"/>
      <c r="BC806" s="140"/>
    </row>
    <row r="807" ht="15.75" customHeight="1">
      <c r="C807" s="137"/>
      <c r="D807" s="138"/>
      <c r="E807" s="138"/>
      <c r="F807" s="138"/>
      <c r="J807" s="138"/>
      <c r="K807" s="138"/>
      <c r="L807" s="138"/>
      <c r="M807" s="139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32"/>
      <c r="AE807" s="140"/>
      <c r="AF807" s="140"/>
      <c r="AG807" s="140"/>
      <c r="AH807" s="140"/>
      <c r="AI807" s="140"/>
      <c r="AJ807" s="141"/>
      <c r="AK807" s="140"/>
      <c r="AL807" s="140"/>
      <c r="AM807" s="140"/>
      <c r="AN807" s="140"/>
      <c r="AO807" s="140"/>
      <c r="AP807" s="140"/>
      <c r="AQ807" s="138"/>
      <c r="AR807" s="140"/>
      <c r="AS807" s="140"/>
      <c r="AT807" s="140"/>
      <c r="AU807" s="140"/>
      <c r="AV807" s="138"/>
      <c r="AW807" s="138"/>
      <c r="AX807" s="140"/>
      <c r="AY807" s="140"/>
      <c r="AZ807" s="140"/>
      <c r="BA807" s="140"/>
      <c r="BB807" s="140"/>
      <c r="BC807" s="140"/>
    </row>
    <row r="808" ht="15.75" customHeight="1">
      <c r="C808" s="137"/>
      <c r="D808" s="138"/>
      <c r="E808" s="138"/>
      <c r="F808" s="138"/>
      <c r="J808" s="138"/>
      <c r="K808" s="138"/>
      <c r="L808" s="138"/>
      <c r="M808" s="139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32"/>
      <c r="AE808" s="140"/>
      <c r="AF808" s="140"/>
      <c r="AG808" s="140"/>
      <c r="AH808" s="140"/>
      <c r="AI808" s="140"/>
      <c r="AJ808" s="141"/>
      <c r="AK808" s="140"/>
      <c r="AL808" s="140"/>
      <c r="AM808" s="140"/>
      <c r="AN808" s="140"/>
      <c r="AO808" s="140"/>
      <c r="AP808" s="140"/>
      <c r="AQ808" s="138"/>
      <c r="AR808" s="140"/>
      <c r="AS808" s="140"/>
      <c r="AT808" s="140"/>
      <c r="AU808" s="140"/>
      <c r="AV808" s="138"/>
      <c r="AW808" s="138"/>
      <c r="AX808" s="140"/>
      <c r="AY808" s="140"/>
      <c r="AZ808" s="140"/>
      <c r="BA808" s="140"/>
      <c r="BB808" s="140"/>
      <c r="BC808" s="140"/>
    </row>
    <row r="809" ht="15.75" customHeight="1">
      <c r="C809" s="137"/>
      <c r="D809" s="138"/>
      <c r="E809" s="138"/>
      <c r="F809" s="138"/>
      <c r="J809" s="138"/>
      <c r="K809" s="138"/>
      <c r="L809" s="138"/>
      <c r="M809" s="139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32"/>
      <c r="AE809" s="140"/>
      <c r="AF809" s="140"/>
      <c r="AG809" s="140"/>
      <c r="AH809" s="140"/>
      <c r="AI809" s="140"/>
      <c r="AJ809" s="141"/>
      <c r="AK809" s="140"/>
      <c r="AL809" s="140"/>
      <c r="AM809" s="140"/>
      <c r="AN809" s="140"/>
      <c r="AO809" s="140"/>
      <c r="AP809" s="140"/>
      <c r="AQ809" s="138"/>
      <c r="AR809" s="140"/>
      <c r="AS809" s="140"/>
      <c r="AT809" s="140"/>
      <c r="AU809" s="140"/>
      <c r="AV809" s="138"/>
      <c r="AW809" s="138"/>
      <c r="AX809" s="140"/>
      <c r="AY809" s="140"/>
      <c r="AZ809" s="140"/>
      <c r="BA809" s="140"/>
      <c r="BB809" s="140"/>
      <c r="BC809" s="140"/>
    </row>
    <row r="810" ht="15.75" customHeight="1">
      <c r="C810" s="137"/>
      <c r="D810" s="138"/>
      <c r="E810" s="138"/>
      <c r="F810" s="138"/>
      <c r="J810" s="138"/>
      <c r="K810" s="138"/>
      <c r="L810" s="138"/>
      <c r="M810" s="139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32"/>
      <c r="AE810" s="140"/>
      <c r="AF810" s="140"/>
      <c r="AG810" s="140"/>
      <c r="AH810" s="140"/>
      <c r="AI810" s="140"/>
      <c r="AJ810" s="141"/>
      <c r="AK810" s="140"/>
      <c r="AL810" s="140"/>
      <c r="AM810" s="140"/>
      <c r="AN810" s="140"/>
      <c r="AO810" s="140"/>
      <c r="AP810" s="140"/>
      <c r="AQ810" s="138"/>
      <c r="AR810" s="140"/>
      <c r="AS810" s="140"/>
      <c r="AT810" s="140"/>
      <c r="AU810" s="140"/>
      <c r="AV810" s="138"/>
      <c r="AW810" s="138"/>
      <c r="AX810" s="140"/>
      <c r="AY810" s="140"/>
      <c r="AZ810" s="140"/>
      <c r="BA810" s="140"/>
      <c r="BB810" s="140"/>
      <c r="BC810" s="140"/>
    </row>
    <row r="811" ht="15.75" customHeight="1">
      <c r="C811" s="137"/>
      <c r="D811" s="138"/>
      <c r="E811" s="138"/>
      <c r="F811" s="138"/>
      <c r="J811" s="138"/>
      <c r="K811" s="138"/>
      <c r="L811" s="138"/>
      <c r="M811" s="139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32"/>
      <c r="AE811" s="140"/>
      <c r="AF811" s="140"/>
      <c r="AG811" s="140"/>
      <c r="AH811" s="140"/>
      <c r="AI811" s="140"/>
      <c r="AJ811" s="141"/>
      <c r="AK811" s="140"/>
      <c r="AL811" s="140"/>
      <c r="AM811" s="140"/>
      <c r="AN811" s="140"/>
      <c r="AO811" s="140"/>
      <c r="AP811" s="140"/>
      <c r="AQ811" s="138"/>
      <c r="AR811" s="140"/>
      <c r="AS811" s="140"/>
      <c r="AT811" s="140"/>
      <c r="AU811" s="140"/>
      <c r="AV811" s="138"/>
      <c r="AW811" s="138"/>
      <c r="AX811" s="140"/>
      <c r="AY811" s="140"/>
      <c r="AZ811" s="140"/>
      <c r="BA811" s="140"/>
      <c r="BB811" s="140"/>
      <c r="BC811" s="140"/>
    </row>
    <row r="812" ht="15.75" customHeight="1">
      <c r="C812" s="137"/>
      <c r="D812" s="138"/>
      <c r="E812" s="138"/>
      <c r="F812" s="138"/>
      <c r="J812" s="138"/>
      <c r="K812" s="138"/>
      <c r="L812" s="138"/>
      <c r="M812" s="139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32"/>
      <c r="AE812" s="140"/>
      <c r="AF812" s="140"/>
      <c r="AG812" s="140"/>
      <c r="AH812" s="140"/>
      <c r="AI812" s="140"/>
      <c r="AJ812" s="141"/>
      <c r="AK812" s="140"/>
      <c r="AL812" s="140"/>
      <c r="AM812" s="140"/>
      <c r="AN812" s="140"/>
      <c r="AO812" s="140"/>
      <c r="AP812" s="140"/>
      <c r="AQ812" s="138"/>
      <c r="AR812" s="140"/>
      <c r="AS812" s="140"/>
      <c r="AT812" s="140"/>
      <c r="AU812" s="140"/>
      <c r="AV812" s="138"/>
      <c r="AW812" s="138"/>
      <c r="AX812" s="140"/>
      <c r="AY812" s="140"/>
      <c r="AZ812" s="140"/>
      <c r="BA812" s="140"/>
      <c r="BB812" s="140"/>
      <c r="BC812" s="140"/>
    </row>
    <row r="813" ht="15.75" customHeight="1">
      <c r="C813" s="137"/>
      <c r="D813" s="138"/>
      <c r="E813" s="138"/>
      <c r="F813" s="138"/>
      <c r="J813" s="138"/>
      <c r="K813" s="138"/>
      <c r="L813" s="138"/>
      <c r="M813" s="139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32"/>
      <c r="AE813" s="140"/>
      <c r="AF813" s="140"/>
      <c r="AG813" s="140"/>
      <c r="AH813" s="140"/>
      <c r="AI813" s="140"/>
      <c r="AJ813" s="141"/>
      <c r="AK813" s="140"/>
      <c r="AL813" s="140"/>
      <c r="AM813" s="140"/>
      <c r="AN813" s="140"/>
      <c r="AO813" s="140"/>
      <c r="AP813" s="140"/>
      <c r="AQ813" s="138"/>
      <c r="AR813" s="140"/>
      <c r="AS813" s="140"/>
      <c r="AT813" s="140"/>
      <c r="AU813" s="140"/>
      <c r="AV813" s="138"/>
      <c r="AW813" s="138"/>
      <c r="AX813" s="140"/>
      <c r="AY813" s="140"/>
      <c r="AZ813" s="140"/>
      <c r="BA813" s="140"/>
      <c r="BB813" s="140"/>
      <c r="BC813" s="140"/>
    </row>
    <row r="814" ht="15.75" customHeight="1">
      <c r="C814" s="137"/>
      <c r="D814" s="138"/>
      <c r="E814" s="138"/>
      <c r="F814" s="138"/>
      <c r="J814" s="138"/>
      <c r="K814" s="138"/>
      <c r="L814" s="138"/>
      <c r="M814" s="139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32"/>
      <c r="AE814" s="140"/>
      <c r="AF814" s="140"/>
      <c r="AG814" s="140"/>
      <c r="AH814" s="140"/>
      <c r="AI814" s="140"/>
      <c r="AJ814" s="141"/>
      <c r="AK814" s="140"/>
      <c r="AL814" s="140"/>
      <c r="AM814" s="140"/>
      <c r="AN814" s="140"/>
      <c r="AO814" s="140"/>
      <c r="AP814" s="140"/>
      <c r="AQ814" s="138"/>
      <c r="AR814" s="140"/>
      <c r="AS814" s="140"/>
      <c r="AT814" s="140"/>
      <c r="AU814" s="140"/>
      <c r="AV814" s="138"/>
      <c r="AW814" s="138"/>
      <c r="AX814" s="140"/>
      <c r="AY814" s="140"/>
      <c r="AZ814" s="140"/>
      <c r="BA814" s="140"/>
      <c r="BB814" s="140"/>
      <c r="BC814" s="140"/>
    </row>
    <row r="815" ht="15.75" customHeight="1">
      <c r="C815" s="137"/>
      <c r="D815" s="138"/>
      <c r="E815" s="138"/>
      <c r="F815" s="138"/>
      <c r="J815" s="138"/>
      <c r="K815" s="138"/>
      <c r="L815" s="138"/>
      <c r="M815" s="139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32"/>
      <c r="AE815" s="140"/>
      <c r="AF815" s="140"/>
      <c r="AG815" s="140"/>
      <c r="AH815" s="140"/>
      <c r="AI815" s="140"/>
      <c r="AJ815" s="141"/>
      <c r="AK815" s="140"/>
      <c r="AL815" s="140"/>
      <c r="AM815" s="140"/>
      <c r="AN815" s="140"/>
      <c r="AO815" s="140"/>
      <c r="AP815" s="140"/>
      <c r="AQ815" s="138"/>
      <c r="AR815" s="140"/>
      <c r="AS815" s="140"/>
      <c r="AT815" s="140"/>
      <c r="AU815" s="140"/>
      <c r="AV815" s="138"/>
      <c r="AW815" s="138"/>
      <c r="AX815" s="140"/>
      <c r="AY815" s="140"/>
      <c r="AZ815" s="140"/>
      <c r="BA815" s="140"/>
      <c r="BB815" s="140"/>
      <c r="BC815" s="140"/>
    </row>
    <row r="816" ht="15.75" customHeight="1">
      <c r="C816" s="137"/>
      <c r="D816" s="138"/>
      <c r="E816" s="138"/>
      <c r="F816" s="138"/>
      <c r="J816" s="138"/>
      <c r="K816" s="138"/>
      <c r="L816" s="138"/>
      <c r="M816" s="139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32"/>
      <c r="AE816" s="140"/>
      <c r="AF816" s="140"/>
      <c r="AG816" s="140"/>
      <c r="AH816" s="140"/>
      <c r="AI816" s="140"/>
      <c r="AJ816" s="141"/>
      <c r="AK816" s="140"/>
      <c r="AL816" s="140"/>
      <c r="AM816" s="140"/>
      <c r="AN816" s="140"/>
      <c r="AO816" s="140"/>
      <c r="AP816" s="140"/>
      <c r="AQ816" s="138"/>
      <c r="AR816" s="140"/>
      <c r="AS816" s="140"/>
      <c r="AT816" s="140"/>
      <c r="AU816" s="140"/>
      <c r="AV816" s="138"/>
      <c r="AW816" s="138"/>
      <c r="AX816" s="140"/>
      <c r="AY816" s="140"/>
      <c r="AZ816" s="140"/>
      <c r="BA816" s="140"/>
      <c r="BB816" s="140"/>
      <c r="BC816" s="140"/>
    </row>
    <row r="817" ht="15.75" customHeight="1">
      <c r="C817" s="137"/>
      <c r="D817" s="138"/>
      <c r="E817" s="138"/>
      <c r="F817" s="138"/>
      <c r="J817" s="138"/>
      <c r="K817" s="138"/>
      <c r="L817" s="138"/>
      <c r="M817" s="139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32"/>
      <c r="AE817" s="140"/>
      <c r="AF817" s="140"/>
      <c r="AG817" s="140"/>
      <c r="AH817" s="140"/>
      <c r="AI817" s="140"/>
      <c r="AJ817" s="141"/>
      <c r="AK817" s="140"/>
      <c r="AL817" s="140"/>
      <c r="AM817" s="140"/>
      <c r="AN817" s="140"/>
      <c r="AO817" s="140"/>
      <c r="AP817" s="140"/>
      <c r="AQ817" s="138"/>
      <c r="AR817" s="140"/>
      <c r="AS817" s="140"/>
      <c r="AT817" s="140"/>
      <c r="AU817" s="140"/>
      <c r="AV817" s="138"/>
      <c r="AW817" s="138"/>
      <c r="AX817" s="140"/>
      <c r="AY817" s="140"/>
      <c r="AZ817" s="140"/>
      <c r="BA817" s="140"/>
      <c r="BB817" s="140"/>
      <c r="BC817" s="140"/>
    </row>
    <row r="818" ht="15.75" customHeight="1">
      <c r="C818" s="137"/>
      <c r="D818" s="138"/>
      <c r="E818" s="138"/>
      <c r="F818" s="138"/>
      <c r="J818" s="138"/>
      <c r="K818" s="138"/>
      <c r="L818" s="138"/>
      <c r="M818" s="139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32"/>
      <c r="AE818" s="140"/>
      <c r="AF818" s="140"/>
      <c r="AG818" s="140"/>
      <c r="AH818" s="140"/>
      <c r="AI818" s="140"/>
      <c r="AJ818" s="141"/>
      <c r="AK818" s="140"/>
      <c r="AL818" s="140"/>
      <c r="AM818" s="140"/>
      <c r="AN818" s="140"/>
      <c r="AO818" s="140"/>
      <c r="AP818" s="140"/>
      <c r="AQ818" s="138"/>
      <c r="AR818" s="140"/>
      <c r="AS818" s="140"/>
      <c r="AT818" s="140"/>
      <c r="AU818" s="140"/>
      <c r="AV818" s="138"/>
      <c r="AW818" s="138"/>
      <c r="AX818" s="140"/>
      <c r="AY818" s="140"/>
      <c r="AZ818" s="140"/>
      <c r="BA818" s="140"/>
      <c r="BB818" s="140"/>
      <c r="BC818" s="140"/>
    </row>
    <row r="819" ht="15.75" customHeight="1">
      <c r="C819" s="137"/>
      <c r="D819" s="138"/>
      <c r="E819" s="138"/>
      <c r="F819" s="138"/>
      <c r="J819" s="138"/>
      <c r="K819" s="138"/>
      <c r="L819" s="138"/>
      <c r="M819" s="139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32"/>
      <c r="AE819" s="140"/>
      <c r="AF819" s="140"/>
      <c r="AG819" s="140"/>
      <c r="AH819" s="140"/>
      <c r="AI819" s="140"/>
      <c r="AJ819" s="141"/>
      <c r="AK819" s="140"/>
      <c r="AL819" s="140"/>
      <c r="AM819" s="140"/>
      <c r="AN819" s="140"/>
      <c r="AO819" s="140"/>
      <c r="AP819" s="140"/>
      <c r="AQ819" s="138"/>
      <c r="AR819" s="140"/>
      <c r="AS819" s="140"/>
      <c r="AT819" s="140"/>
      <c r="AU819" s="140"/>
      <c r="AV819" s="138"/>
      <c r="AW819" s="138"/>
      <c r="AX819" s="140"/>
      <c r="AY819" s="140"/>
      <c r="AZ819" s="140"/>
      <c r="BA819" s="140"/>
      <c r="BB819" s="140"/>
      <c r="BC819" s="140"/>
    </row>
    <row r="820" ht="15.75" customHeight="1">
      <c r="C820" s="137"/>
      <c r="D820" s="138"/>
      <c r="E820" s="138"/>
      <c r="F820" s="138"/>
      <c r="J820" s="138"/>
      <c r="K820" s="138"/>
      <c r="L820" s="138"/>
      <c r="M820" s="139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32"/>
      <c r="AE820" s="140"/>
      <c r="AF820" s="140"/>
      <c r="AG820" s="140"/>
      <c r="AH820" s="140"/>
      <c r="AI820" s="140"/>
      <c r="AJ820" s="141"/>
      <c r="AK820" s="140"/>
      <c r="AL820" s="140"/>
      <c r="AM820" s="140"/>
      <c r="AN820" s="140"/>
      <c r="AO820" s="140"/>
      <c r="AP820" s="140"/>
      <c r="AQ820" s="138"/>
      <c r="AR820" s="140"/>
      <c r="AS820" s="140"/>
      <c r="AT820" s="140"/>
      <c r="AU820" s="140"/>
      <c r="AV820" s="138"/>
      <c r="AW820" s="138"/>
      <c r="AX820" s="140"/>
      <c r="AY820" s="140"/>
      <c r="AZ820" s="140"/>
      <c r="BA820" s="140"/>
      <c r="BB820" s="140"/>
      <c r="BC820" s="140"/>
    </row>
    <row r="821" ht="15.75" customHeight="1">
      <c r="C821" s="137"/>
      <c r="D821" s="138"/>
      <c r="E821" s="138"/>
      <c r="F821" s="138"/>
      <c r="J821" s="138"/>
      <c r="K821" s="138"/>
      <c r="L821" s="138"/>
      <c r="M821" s="139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32"/>
      <c r="AE821" s="140"/>
      <c r="AF821" s="140"/>
      <c r="AG821" s="140"/>
      <c r="AH821" s="140"/>
      <c r="AI821" s="140"/>
      <c r="AJ821" s="141"/>
      <c r="AK821" s="140"/>
      <c r="AL821" s="140"/>
      <c r="AM821" s="140"/>
      <c r="AN821" s="140"/>
      <c r="AO821" s="140"/>
      <c r="AP821" s="140"/>
      <c r="AQ821" s="138"/>
      <c r="AR821" s="140"/>
      <c r="AS821" s="140"/>
      <c r="AT821" s="140"/>
      <c r="AU821" s="140"/>
      <c r="AV821" s="138"/>
      <c r="AW821" s="138"/>
      <c r="AX821" s="140"/>
      <c r="AY821" s="140"/>
      <c r="AZ821" s="140"/>
      <c r="BA821" s="140"/>
      <c r="BB821" s="140"/>
      <c r="BC821" s="140"/>
    </row>
    <row r="822" ht="15.75" customHeight="1">
      <c r="C822" s="137"/>
      <c r="D822" s="138"/>
      <c r="E822" s="138"/>
      <c r="F822" s="138"/>
      <c r="J822" s="138"/>
      <c r="K822" s="138"/>
      <c r="L822" s="138"/>
      <c r="M822" s="139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32"/>
      <c r="AE822" s="140"/>
      <c r="AF822" s="140"/>
      <c r="AG822" s="140"/>
      <c r="AH822" s="140"/>
      <c r="AI822" s="140"/>
      <c r="AJ822" s="141"/>
      <c r="AK822" s="140"/>
      <c r="AL822" s="140"/>
      <c r="AM822" s="140"/>
      <c r="AN822" s="140"/>
      <c r="AO822" s="140"/>
      <c r="AP822" s="140"/>
      <c r="AQ822" s="138"/>
      <c r="AR822" s="140"/>
      <c r="AS822" s="140"/>
      <c r="AT822" s="140"/>
      <c r="AU822" s="140"/>
      <c r="AV822" s="138"/>
      <c r="AW822" s="138"/>
      <c r="AX822" s="140"/>
      <c r="AY822" s="140"/>
      <c r="AZ822" s="140"/>
      <c r="BA822" s="140"/>
      <c r="BB822" s="140"/>
      <c r="BC822" s="140"/>
    </row>
    <row r="823" ht="15.75" customHeight="1">
      <c r="C823" s="137"/>
      <c r="D823" s="138"/>
      <c r="E823" s="138"/>
      <c r="F823" s="138"/>
      <c r="J823" s="138"/>
      <c r="K823" s="138"/>
      <c r="L823" s="138"/>
      <c r="M823" s="139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32"/>
      <c r="AE823" s="140"/>
      <c r="AF823" s="140"/>
      <c r="AG823" s="140"/>
      <c r="AH823" s="140"/>
      <c r="AI823" s="140"/>
      <c r="AJ823" s="141"/>
      <c r="AK823" s="140"/>
      <c r="AL823" s="140"/>
      <c r="AM823" s="140"/>
      <c r="AN823" s="140"/>
      <c r="AO823" s="140"/>
      <c r="AP823" s="140"/>
      <c r="AQ823" s="138"/>
      <c r="AR823" s="140"/>
      <c r="AS823" s="140"/>
      <c r="AT823" s="140"/>
      <c r="AU823" s="140"/>
      <c r="AV823" s="138"/>
      <c r="AW823" s="138"/>
      <c r="AX823" s="140"/>
      <c r="AY823" s="140"/>
      <c r="AZ823" s="140"/>
      <c r="BA823" s="140"/>
      <c r="BB823" s="140"/>
      <c r="BC823" s="140"/>
    </row>
    <row r="824" ht="15.75" customHeight="1">
      <c r="C824" s="137"/>
      <c r="D824" s="138"/>
      <c r="E824" s="138"/>
      <c r="F824" s="138"/>
      <c r="J824" s="138"/>
      <c r="K824" s="138"/>
      <c r="L824" s="138"/>
      <c r="M824" s="139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32"/>
      <c r="AE824" s="140"/>
      <c r="AF824" s="140"/>
      <c r="AG824" s="140"/>
      <c r="AH824" s="140"/>
      <c r="AI824" s="140"/>
      <c r="AJ824" s="141"/>
      <c r="AK824" s="140"/>
      <c r="AL824" s="140"/>
      <c r="AM824" s="140"/>
      <c r="AN824" s="140"/>
      <c r="AO824" s="140"/>
      <c r="AP824" s="140"/>
      <c r="AQ824" s="138"/>
      <c r="AR824" s="140"/>
      <c r="AS824" s="140"/>
      <c r="AT824" s="140"/>
      <c r="AU824" s="140"/>
      <c r="AV824" s="138"/>
      <c r="AW824" s="138"/>
      <c r="AX824" s="140"/>
      <c r="AY824" s="140"/>
      <c r="AZ824" s="140"/>
      <c r="BA824" s="140"/>
      <c r="BB824" s="140"/>
      <c r="BC824" s="140"/>
    </row>
    <row r="825" ht="15.75" customHeight="1">
      <c r="C825" s="137"/>
      <c r="D825" s="138"/>
      <c r="E825" s="138"/>
      <c r="F825" s="138"/>
      <c r="J825" s="138"/>
      <c r="K825" s="138"/>
      <c r="L825" s="138"/>
      <c r="M825" s="139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32"/>
      <c r="AE825" s="140"/>
      <c r="AF825" s="140"/>
      <c r="AG825" s="140"/>
      <c r="AH825" s="140"/>
      <c r="AI825" s="140"/>
      <c r="AJ825" s="141"/>
      <c r="AK825" s="140"/>
      <c r="AL825" s="140"/>
      <c r="AM825" s="140"/>
      <c r="AN825" s="140"/>
      <c r="AO825" s="140"/>
      <c r="AP825" s="140"/>
      <c r="AQ825" s="138"/>
      <c r="AR825" s="140"/>
      <c r="AS825" s="140"/>
      <c r="AT825" s="140"/>
      <c r="AU825" s="140"/>
      <c r="AV825" s="138"/>
      <c r="AW825" s="138"/>
      <c r="AX825" s="140"/>
      <c r="AY825" s="140"/>
      <c r="AZ825" s="140"/>
      <c r="BA825" s="140"/>
      <c r="BB825" s="140"/>
      <c r="BC825" s="140"/>
    </row>
    <row r="826" ht="15.75" customHeight="1">
      <c r="C826" s="137"/>
      <c r="D826" s="138"/>
      <c r="E826" s="138"/>
      <c r="F826" s="138"/>
      <c r="J826" s="138"/>
      <c r="K826" s="138"/>
      <c r="L826" s="138"/>
      <c r="M826" s="139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32"/>
      <c r="AE826" s="140"/>
      <c r="AF826" s="140"/>
      <c r="AG826" s="140"/>
      <c r="AH826" s="140"/>
      <c r="AI826" s="140"/>
      <c r="AJ826" s="141"/>
      <c r="AK826" s="140"/>
      <c r="AL826" s="140"/>
      <c r="AM826" s="140"/>
      <c r="AN826" s="140"/>
      <c r="AO826" s="140"/>
      <c r="AP826" s="140"/>
      <c r="AQ826" s="138"/>
      <c r="AR826" s="140"/>
      <c r="AS826" s="140"/>
      <c r="AT826" s="140"/>
      <c r="AU826" s="140"/>
      <c r="AV826" s="138"/>
      <c r="AW826" s="138"/>
      <c r="AX826" s="140"/>
      <c r="AY826" s="140"/>
      <c r="AZ826" s="140"/>
      <c r="BA826" s="140"/>
      <c r="BB826" s="140"/>
      <c r="BC826" s="140"/>
    </row>
    <row r="827" ht="15.75" customHeight="1">
      <c r="C827" s="137"/>
      <c r="D827" s="138"/>
      <c r="E827" s="138"/>
      <c r="F827" s="138"/>
      <c r="J827" s="138"/>
      <c r="K827" s="138"/>
      <c r="L827" s="138"/>
      <c r="M827" s="139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32"/>
      <c r="AE827" s="140"/>
      <c r="AF827" s="140"/>
      <c r="AG827" s="140"/>
      <c r="AH827" s="140"/>
      <c r="AI827" s="140"/>
      <c r="AJ827" s="141"/>
      <c r="AK827" s="140"/>
      <c r="AL827" s="140"/>
      <c r="AM827" s="140"/>
      <c r="AN827" s="140"/>
      <c r="AO827" s="140"/>
      <c r="AP827" s="140"/>
      <c r="AQ827" s="138"/>
      <c r="AR827" s="140"/>
      <c r="AS827" s="140"/>
      <c r="AT827" s="140"/>
      <c r="AU827" s="140"/>
      <c r="AV827" s="138"/>
      <c r="AW827" s="138"/>
      <c r="AX827" s="140"/>
      <c r="AY827" s="140"/>
      <c r="AZ827" s="140"/>
      <c r="BA827" s="140"/>
      <c r="BB827" s="140"/>
      <c r="BC827" s="140"/>
    </row>
    <row r="828" ht="15.75" customHeight="1">
      <c r="C828" s="137"/>
      <c r="D828" s="138"/>
      <c r="E828" s="138"/>
      <c r="F828" s="138"/>
      <c r="J828" s="138"/>
      <c r="K828" s="138"/>
      <c r="L828" s="138"/>
      <c r="M828" s="139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32"/>
      <c r="AE828" s="140"/>
      <c r="AF828" s="140"/>
      <c r="AG828" s="140"/>
      <c r="AH828" s="140"/>
      <c r="AI828" s="140"/>
      <c r="AJ828" s="141"/>
      <c r="AK828" s="140"/>
      <c r="AL828" s="140"/>
      <c r="AM828" s="140"/>
      <c r="AN828" s="140"/>
      <c r="AO828" s="140"/>
      <c r="AP828" s="140"/>
      <c r="AQ828" s="138"/>
      <c r="AR828" s="140"/>
      <c r="AS828" s="140"/>
      <c r="AT828" s="140"/>
      <c r="AU828" s="140"/>
      <c r="AV828" s="138"/>
      <c r="AW828" s="138"/>
      <c r="AX828" s="140"/>
      <c r="AY828" s="140"/>
      <c r="AZ828" s="140"/>
      <c r="BA828" s="140"/>
      <c r="BB828" s="140"/>
      <c r="BC828" s="140"/>
    </row>
    <row r="829" ht="15.75" customHeight="1">
      <c r="C829" s="137"/>
      <c r="D829" s="138"/>
      <c r="E829" s="138"/>
      <c r="F829" s="138"/>
      <c r="J829" s="138"/>
      <c r="K829" s="138"/>
      <c r="L829" s="138"/>
      <c r="M829" s="139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32"/>
      <c r="AE829" s="140"/>
      <c r="AF829" s="140"/>
      <c r="AG829" s="140"/>
      <c r="AH829" s="140"/>
      <c r="AI829" s="140"/>
      <c r="AJ829" s="141"/>
      <c r="AK829" s="140"/>
      <c r="AL829" s="140"/>
      <c r="AM829" s="140"/>
      <c r="AN829" s="140"/>
      <c r="AO829" s="140"/>
      <c r="AP829" s="140"/>
      <c r="AQ829" s="138"/>
      <c r="AR829" s="140"/>
      <c r="AS829" s="140"/>
      <c r="AT829" s="140"/>
      <c r="AU829" s="140"/>
      <c r="AV829" s="138"/>
      <c r="AW829" s="138"/>
      <c r="AX829" s="140"/>
      <c r="AY829" s="140"/>
      <c r="AZ829" s="140"/>
      <c r="BA829" s="140"/>
      <c r="BB829" s="140"/>
      <c r="BC829" s="140"/>
    </row>
    <row r="830" ht="15.75" customHeight="1">
      <c r="C830" s="137"/>
      <c r="D830" s="138"/>
      <c r="E830" s="138"/>
      <c r="F830" s="138"/>
      <c r="J830" s="138"/>
      <c r="K830" s="138"/>
      <c r="L830" s="138"/>
      <c r="M830" s="139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32"/>
      <c r="AE830" s="140"/>
      <c r="AF830" s="140"/>
      <c r="AG830" s="140"/>
      <c r="AH830" s="140"/>
      <c r="AI830" s="140"/>
      <c r="AJ830" s="141"/>
      <c r="AK830" s="140"/>
      <c r="AL830" s="140"/>
      <c r="AM830" s="140"/>
      <c r="AN830" s="140"/>
      <c r="AO830" s="140"/>
      <c r="AP830" s="140"/>
      <c r="AQ830" s="138"/>
      <c r="AR830" s="140"/>
      <c r="AS830" s="140"/>
      <c r="AT830" s="140"/>
      <c r="AU830" s="140"/>
      <c r="AV830" s="138"/>
      <c r="AW830" s="138"/>
      <c r="AX830" s="140"/>
      <c r="AY830" s="140"/>
      <c r="AZ830" s="140"/>
      <c r="BA830" s="140"/>
      <c r="BB830" s="140"/>
      <c r="BC830" s="140"/>
    </row>
    <row r="831" ht="15.75" customHeight="1">
      <c r="C831" s="137"/>
      <c r="D831" s="138"/>
      <c r="E831" s="138"/>
      <c r="F831" s="138"/>
      <c r="J831" s="138"/>
      <c r="K831" s="138"/>
      <c r="L831" s="138"/>
      <c r="M831" s="139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32"/>
      <c r="AE831" s="140"/>
      <c r="AF831" s="140"/>
      <c r="AG831" s="140"/>
      <c r="AH831" s="140"/>
      <c r="AI831" s="140"/>
      <c r="AJ831" s="141"/>
      <c r="AK831" s="140"/>
      <c r="AL831" s="140"/>
      <c r="AM831" s="140"/>
      <c r="AN831" s="140"/>
      <c r="AO831" s="140"/>
      <c r="AP831" s="140"/>
      <c r="AQ831" s="138"/>
      <c r="AR831" s="140"/>
      <c r="AS831" s="140"/>
      <c r="AT831" s="140"/>
      <c r="AU831" s="140"/>
      <c r="AV831" s="138"/>
      <c r="AW831" s="138"/>
      <c r="AX831" s="140"/>
      <c r="AY831" s="140"/>
      <c r="AZ831" s="140"/>
      <c r="BA831" s="140"/>
      <c r="BB831" s="140"/>
      <c r="BC831" s="140"/>
    </row>
    <row r="832" ht="15.75" customHeight="1">
      <c r="C832" s="137"/>
      <c r="D832" s="138"/>
      <c r="E832" s="138"/>
      <c r="F832" s="138"/>
      <c r="J832" s="138"/>
      <c r="K832" s="138"/>
      <c r="L832" s="138"/>
      <c r="M832" s="139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32"/>
      <c r="AE832" s="140"/>
      <c r="AF832" s="140"/>
      <c r="AG832" s="140"/>
      <c r="AH832" s="140"/>
      <c r="AI832" s="140"/>
      <c r="AJ832" s="141"/>
      <c r="AK832" s="140"/>
      <c r="AL832" s="140"/>
      <c r="AM832" s="140"/>
      <c r="AN832" s="140"/>
      <c r="AO832" s="140"/>
      <c r="AP832" s="140"/>
      <c r="AQ832" s="138"/>
      <c r="AR832" s="140"/>
      <c r="AS832" s="140"/>
      <c r="AT832" s="140"/>
      <c r="AU832" s="140"/>
      <c r="AV832" s="138"/>
      <c r="AW832" s="138"/>
      <c r="AX832" s="140"/>
      <c r="AY832" s="140"/>
      <c r="AZ832" s="140"/>
      <c r="BA832" s="140"/>
      <c r="BB832" s="140"/>
      <c r="BC832" s="140"/>
    </row>
    <row r="833" ht="15.75" customHeight="1">
      <c r="C833" s="137"/>
      <c r="D833" s="138"/>
      <c r="E833" s="138"/>
      <c r="F833" s="138"/>
      <c r="J833" s="138"/>
      <c r="K833" s="138"/>
      <c r="L833" s="138"/>
      <c r="M833" s="139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32"/>
      <c r="AE833" s="140"/>
      <c r="AF833" s="140"/>
      <c r="AG833" s="140"/>
      <c r="AH833" s="140"/>
      <c r="AI833" s="140"/>
      <c r="AJ833" s="141"/>
      <c r="AK833" s="140"/>
      <c r="AL833" s="140"/>
      <c r="AM833" s="140"/>
      <c r="AN833" s="140"/>
      <c r="AO833" s="140"/>
      <c r="AP833" s="140"/>
      <c r="AQ833" s="138"/>
      <c r="AR833" s="140"/>
      <c r="AS833" s="140"/>
      <c r="AT833" s="140"/>
      <c r="AU833" s="140"/>
      <c r="AV833" s="138"/>
      <c r="AW833" s="138"/>
      <c r="AX833" s="140"/>
      <c r="AY833" s="140"/>
      <c r="AZ833" s="140"/>
      <c r="BA833" s="140"/>
      <c r="BB833" s="140"/>
      <c r="BC833" s="140"/>
    </row>
    <row r="834" ht="15.75" customHeight="1">
      <c r="C834" s="137"/>
      <c r="D834" s="138"/>
      <c r="E834" s="138"/>
      <c r="F834" s="138"/>
      <c r="J834" s="138"/>
      <c r="K834" s="138"/>
      <c r="L834" s="138"/>
      <c r="M834" s="139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32"/>
      <c r="AE834" s="140"/>
      <c r="AF834" s="140"/>
      <c r="AG834" s="140"/>
      <c r="AH834" s="140"/>
      <c r="AI834" s="140"/>
      <c r="AJ834" s="141"/>
      <c r="AK834" s="140"/>
      <c r="AL834" s="140"/>
      <c r="AM834" s="140"/>
      <c r="AN834" s="140"/>
      <c r="AO834" s="140"/>
      <c r="AP834" s="140"/>
      <c r="AQ834" s="138"/>
      <c r="AR834" s="140"/>
      <c r="AS834" s="140"/>
      <c r="AT834" s="140"/>
      <c r="AU834" s="140"/>
      <c r="AV834" s="138"/>
      <c r="AW834" s="138"/>
      <c r="AX834" s="140"/>
      <c r="AY834" s="140"/>
      <c r="AZ834" s="140"/>
      <c r="BA834" s="140"/>
      <c r="BB834" s="140"/>
      <c r="BC834" s="140"/>
    </row>
    <row r="835" ht="15.75" customHeight="1">
      <c r="C835" s="137"/>
      <c r="D835" s="138"/>
      <c r="E835" s="138"/>
      <c r="F835" s="138"/>
      <c r="J835" s="138"/>
      <c r="K835" s="138"/>
      <c r="L835" s="138"/>
      <c r="M835" s="139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32"/>
      <c r="AE835" s="140"/>
      <c r="AF835" s="140"/>
      <c r="AG835" s="140"/>
      <c r="AH835" s="140"/>
      <c r="AI835" s="140"/>
      <c r="AJ835" s="141"/>
      <c r="AK835" s="140"/>
      <c r="AL835" s="140"/>
      <c r="AM835" s="140"/>
      <c r="AN835" s="140"/>
      <c r="AO835" s="140"/>
      <c r="AP835" s="140"/>
      <c r="AQ835" s="138"/>
      <c r="AR835" s="140"/>
      <c r="AS835" s="140"/>
      <c r="AT835" s="140"/>
      <c r="AU835" s="140"/>
      <c r="AV835" s="138"/>
      <c r="AW835" s="138"/>
      <c r="AX835" s="140"/>
      <c r="AY835" s="140"/>
      <c r="AZ835" s="140"/>
      <c r="BA835" s="140"/>
      <c r="BB835" s="140"/>
      <c r="BC835" s="140"/>
    </row>
    <row r="836" ht="15.75" customHeight="1">
      <c r="C836" s="137"/>
      <c r="D836" s="138"/>
      <c r="E836" s="138"/>
      <c r="F836" s="138"/>
      <c r="J836" s="138"/>
      <c r="K836" s="138"/>
      <c r="L836" s="138"/>
      <c r="M836" s="139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32"/>
      <c r="AE836" s="140"/>
      <c r="AF836" s="140"/>
      <c r="AG836" s="140"/>
      <c r="AH836" s="140"/>
      <c r="AI836" s="140"/>
      <c r="AJ836" s="141"/>
      <c r="AK836" s="140"/>
      <c r="AL836" s="140"/>
      <c r="AM836" s="140"/>
      <c r="AN836" s="140"/>
      <c r="AO836" s="140"/>
      <c r="AP836" s="140"/>
      <c r="AQ836" s="138"/>
      <c r="AR836" s="140"/>
      <c r="AS836" s="140"/>
      <c r="AT836" s="140"/>
      <c r="AU836" s="140"/>
      <c r="AV836" s="138"/>
      <c r="AW836" s="138"/>
      <c r="AX836" s="140"/>
      <c r="AY836" s="140"/>
      <c r="AZ836" s="140"/>
      <c r="BA836" s="140"/>
      <c r="BB836" s="140"/>
      <c r="BC836" s="140"/>
    </row>
    <row r="837" ht="15.75" customHeight="1">
      <c r="C837" s="137"/>
      <c r="D837" s="138"/>
      <c r="E837" s="138"/>
      <c r="F837" s="138"/>
      <c r="J837" s="138"/>
      <c r="K837" s="138"/>
      <c r="L837" s="138"/>
      <c r="M837" s="139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32"/>
      <c r="AE837" s="140"/>
      <c r="AF837" s="140"/>
      <c r="AG837" s="140"/>
      <c r="AH837" s="140"/>
      <c r="AI837" s="140"/>
      <c r="AJ837" s="141"/>
      <c r="AK837" s="140"/>
      <c r="AL837" s="140"/>
      <c r="AM837" s="140"/>
      <c r="AN837" s="140"/>
      <c r="AO837" s="140"/>
      <c r="AP837" s="140"/>
      <c r="AQ837" s="138"/>
      <c r="AR837" s="140"/>
      <c r="AS837" s="140"/>
      <c r="AT837" s="140"/>
      <c r="AU837" s="140"/>
      <c r="AV837" s="138"/>
      <c r="AW837" s="138"/>
      <c r="AX837" s="140"/>
      <c r="AY837" s="140"/>
      <c r="AZ837" s="140"/>
      <c r="BA837" s="140"/>
      <c r="BB837" s="140"/>
      <c r="BC837" s="140"/>
    </row>
    <row r="838" ht="15.75" customHeight="1">
      <c r="C838" s="137"/>
      <c r="D838" s="138"/>
      <c r="E838" s="138"/>
      <c r="F838" s="138"/>
      <c r="J838" s="138"/>
      <c r="K838" s="138"/>
      <c r="L838" s="138"/>
      <c r="M838" s="139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32"/>
      <c r="AE838" s="140"/>
      <c r="AF838" s="140"/>
      <c r="AG838" s="140"/>
      <c r="AH838" s="140"/>
      <c r="AI838" s="140"/>
      <c r="AJ838" s="141"/>
      <c r="AK838" s="140"/>
      <c r="AL838" s="140"/>
      <c r="AM838" s="140"/>
      <c r="AN838" s="140"/>
      <c r="AO838" s="140"/>
      <c r="AP838" s="140"/>
      <c r="AQ838" s="138"/>
      <c r="AR838" s="140"/>
      <c r="AS838" s="140"/>
      <c r="AT838" s="140"/>
      <c r="AU838" s="140"/>
      <c r="AV838" s="138"/>
      <c r="AW838" s="138"/>
      <c r="AX838" s="140"/>
      <c r="AY838" s="140"/>
      <c r="AZ838" s="140"/>
      <c r="BA838" s="140"/>
      <c r="BB838" s="140"/>
      <c r="BC838" s="140"/>
    </row>
    <row r="839" ht="15.75" customHeight="1">
      <c r="C839" s="137"/>
      <c r="D839" s="138"/>
      <c r="E839" s="138"/>
      <c r="F839" s="138"/>
      <c r="J839" s="138"/>
      <c r="K839" s="138"/>
      <c r="L839" s="138"/>
      <c r="M839" s="139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32"/>
      <c r="AE839" s="140"/>
      <c r="AF839" s="140"/>
      <c r="AG839" s="140"/>
      <c r="AH839" s="140"/>
      <c r="AI839" s="140"/>
      <c r="AJ839" s="141"/>
      <c r="AK839" s="140"/>
      <c r="AL839" s="140"/>
      <c r="AM839" s="140"/>
      <c r="AN839" s="140"/>
      <c r="AO839" s="140"/>
      <c r="AP839" s="140"/>
      <c r="AQ839" s="138"/>
      <c r="AR839" s="140"/>
      <c r="AS839" s="140"/>
      <c r="AT839" s="140"/>
      <c r="AU839" s="140"/>
      <c r="AV839" s="138"/>
      <c r="AW839" s="138"/>
      <c r="AX839" s="140"/>
      <c r="AY839" s="140"/>
      <c r="AZ839" s="140"/>
      <c r="BA839" s="140"/>
      <c r="BB839" s="140"/>
      <c r="BC839" s="140"/>
    </row>
    <row r="840" ht="15.75" customHeight="1">
      <c r="C840" s="137"/>
      <c r="D840" s="138"/>
      <c r="E840" s="138"/>
      <c r="F840" s="138"/>
      <c r="J840" s="138"/>
      <c r="K840" s="138"/>
      <c r="L840" s="138"/>
      <c r="M840" s="139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32"/>
      <c r="AE840" s="140"/>
      <c r="AF840" s="140"/>
      <c r="AG840" s="140"/>
      <c r="AH840" s="140"/>
      <c r="AI840" s="140"/>
      <c r="AJ840" s="141"/>
      <c r="AK840" s="140"/>
      <c r="AL840" s="140"/>
      <c r="AM840" s="140"/>
      <c r="AN840" s="140"/>
      <c r="AO840" s="140"/>
      <c r="AP840" s="140"/>
      <c r="AQ840" s="138"/>
      <c r="AR840" s="140"/>
      <c r="AS840" s="140"/>
      <c r="AT840" s="140"/>
      <c r="AU840" s="140"/>
      <c r="AV840" s="138"/>
      <c r="AW840" s="138"/>
      <c r="AX840" s="140"/>
      <c r="AY840" s="140"/>
      <c r="AZ840" s="140"/>
      <c r="BA840" s="140"/>
      <c r="BB840" s="140"/>
      <c r="BC840" s="140"/>
    </row>
    <row r="841" ht="15.75" customHeight="1">
      <c r="C841" s="137"/>
      <c r="D841" s="138"/>
      <c r="E841" s="138"/>
      <c r="F841" s="138"/>
      <c r="J841" s="138"/>
      <c r="K841" s="138"/>
      <c r="L841" s="138"/>
      <c r="M841" s="139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32"/>
      <c r="AE841" s="140"/>
      <c r="AF841" s="140"/>
      <c r="AG841" s="140"/>
      <c r="AH841" s="140"/>
      <c r="AI841" s="140"/>
      <c r="AJ841" s="141"/>
      <c r="AK841" s="140"/>
      <c r="AL841" s="140"/>
      <c r="AM841" s="140"/>
      <c r="AN841" s="140"/>
      <c r="AO841" s="140"/>
      <c r="AP841" s="140"/>
      <c r="AQ841" s="138"/>
      <c r="AR841" s="140"/>
      <c r="AS841" s="140"/>
      <c r="AT841" s="140"/>
      <c r="AU841" s="140"/>
      <c r="AV841" s="138"/>
      <c r="AW841" s="138"/>
      <c r="AX841" s="140"/>
      <c r="AY841" s="140"/>
      <c r="AZ841" s="140"/>
      <c r="BA841" s="140"/>
      <c r="BB841" s="140"/>
      <c r="BC841" s="140"/>
    </row>
    <row r="842" ht="15.75" customHeight="1">
      <c r="C842" s="137"/>
      <c r="D842" s="138"/>
      <c r="E842" s="138"/>
      <c r="F842" s="138"/>
      <c r="J842" s="138"/>
      <c r="K842" s="138"/>
      <c r="L842" s="138"/>
      <c r="M842" s="139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32"/>
      <c r="AE842" s="140"/>
      <c r="AF842" s="140"/>
      <c r="AG842" s="140"/>
      <c r="AH842" s="140"/>
      <c r="AI842" s="140"/>
      <c r="AJ842" s="141"/>
      <c r="AK842" s="140"/>
      <c r="AL842" s="140"/>
      <c r="AM842" s="140"/>
      <c r="AN842" s="140"/>
      <c r="AO842" s="140"/>
      <c r="AP842" s="140"/>
      <c r="AQ842" s="138"/>
      <c r="AR842" s="140"/>
      <c r="AS842" s="140"/>
      <c r="AT842" s="140"/>
      <c r="AU842" s="140"/>
      <c r="AV842" s="138"/>
      <c r="AW842" s="138"/>
      <c r="AX842" s="140"/>
      <c r="AY842" s="140"/>
      <c r="AZ842" s="140"/>
      <c r="BA842" s="140"/>
      <c r="BB842" s="140"/>
      <c r="BC842" s="140"/>
    </row>
    <row r="843" ht="15.75" customHeight="1">
      <c r="C843" s="137"/>
      <c r="D843" s="138"/>
      <c r="E843" s="138"/>
      <c r="F843" s="138"/>
      <c r="J843" s="138"/>
      <c r="K843" s="138"/>
      <c r="L843" s="138"/>
      <c r="M843" s="139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32"/>
      <c r="AE843" s="140"/>
      <c r="AF843" s="140"/>
      <c r="AG843" s="140"/>
      <c r="AH843" s="140"/>
      <c r="AI843" s="140"/>
      <c r="AJ843" s="141"/>
      <c r="AK843" s="140"/>
      <c r="AL843" s="140"/>
      <c r="AM843" s="140"/>
      <c r="AN843" s="140"/>
      <c r="AO843" s="140"/>
      <c r="AP843" s="140"/>
      <c r="AQ843" s="138"/>
      <c r="AR843" s="140"/>
      <c r="AS843" s="140"/>
      <c r="AT843" s="140"/>
      <c r="AU843" s="140"/>
      <c r="AV843" s="138"/>
      <c r="AW843" s="138"/>
      <c r="AX843" s="140"/>
      <c r="AY843" s="140"/>
      <c r="AZ843" s="140"/>
      <c r="BA843" s="140"/>
      <c r="BB843" s="140"/>
      <c r="BC843" s="140"/>
    </row>
    <row r="844" ht="15.75" customHeight="1">
      <c r="C844" s="137"/>
      <c r="D844" s="138"/>
      <c r="E844" s="138"/>
      <c r="F844" s="138"/>
      <c r="J844" s="138"/>
      <c r="K844" s="138"/>
      <c r="L844" s="138"/>
      <c r="M844" s="139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32"/>
      <c r="AE844" s="140"/>
      <c r="AF844" s="140"/>
      <c r="AG844" s="140"/>
      <c r="AH844" s="140"/>
      <c r="AI844" s="140"/>
      <c r="AJ844" s="141"/>
      <c r="AK844" s="140"/>
      <c r="AL844" s="140"/>
      <c r="AM844" s="140"/>
      <c r="AN844" s="140"/>
      <c r="AO844" s="140"/>
      <c r="AP844" s="140"/>
      <c r="AQ844" s="138"/>
      <c r="AR844" s="140"/>
      <c r="AS844" s="140"/>
      <c r="AT844" s="140"/>
      <c r="AU844" s="140"/>
      <c r="AV844" s="138"/>
      <c r="AW844" s="138"/>
      <c r="AX844" s="140"/>
      <c r="AY844" s="140"/>
      <c r="AZ844" s="140"/>
      <c r="BA844" s="140"/>
      <c r="BB844" s="140"/>
      <c r="BC844" s="140"/>
    </row>
    <row r="845" ht="15.75" customHeight="1">
      <c r="C845" s="137"/>
      <c r="D845" s="138"/>
      <c r="E845" s="138"/>
      <c r="F845" s="138"/>
      <c r="J845" s="138"/>
      <c r="K845" s="138"/>
      <c r="L845" s="138"/>
      <c r="M845" s="139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32"/>
      <c r="AE845" s="140"/>
      <c r="AF845" s="140"/>
      <c r="AG845" s="140"/>
      <c r="AH845" s="140"/>
      <c r="AI845" s="140"/>
      <c r="AJ845" s="141"/>
      <c r="AK845" s="140"/>
      <c r="AL845" s="140"/>
      <c r="AM845" s="140"/>
      <c r="AN845" s="140"/>
      <c r="AO845" s="140"/>
      <c r="AP845" s="140"/>
      <c r="AQ845" s="138"/>
      <c r="AR845" s="140"/>
      <c r="AS845" s="140"/>
      <c r="AT845" s="140"/>
      <c r="AU845" s="140"/>
      <c r="AV845" s="138"/>
      <c r="AW845" s="138"/>
      <c r="AX845" s="140"/>
      <c r="AY845" s="140"/>
      <c r="AZ845" s="140"/>
      <c r="BA845" s="140"/>
      <c r="BB845" s="140"/>
      <c r="BC845" s="140"/>
    </row>
    <row r="846" ht="15.75" customHeight="1">
      <c r="C846" s="137"/>
      <c r="D846" s="138"/>
      <c r="E846" s="138"/>
      <c r="F846" s="138"/>
      <c r="J846" s="138"/>
      <c r="K846" s="138"/>
      <c r="L846" s="138"/>
      <c r="M846" s="139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32"/>
      <c r="AE846" s="140"/>
      <c r="AF846" s="140"/>
      <c r="AG846" s="140"/>
      <c r="AH846" s="140"/>
      <c r="AI846" s="140"/>
      <c r="AJ846" s="141"/>
      <c r="AK846" s="140"/>
      <c r="AL846" s="140"/>
      <c r="AM846" s="140"/>
      <c r="AN846" s="140"/>
      <c r="AO846" s="140"/>
      <c r="AP846" s="140"/>
      <c r="AQ846" s="138"/>
      <c r="AR846" s="140"/>
      <c r="AS846" s="140"/>
      <c r="AT846" s="140"/>
      <c r="AU846" s="140"/>
      <c r="AV846" s="138"/>
      <c r="AW846" s="138"/>
      <c r="AX846" s="140"/>
      <c r="AY846" s="140"/>
      <c r="AZ846" s="140"/>
      <c r="BA846" s="140"/>
      <c r="BB846" s="140"/>
      <c r="BC846" s="140"/>
    </row>
    <row r="847" ht="15.75" customHeight="1">
      <c r="C847" s="137"/>
      <c r="D847" s="138"/>
      <c r="E847" s="138"/>
      <c r="F847" s="138"/>
      <c r="J847" s="138"/>
      <c r="K847" s="138"/>
      <c r="L847" s="138"/>
      <c r="M847" s="139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32"/>
      <c r="AE847" s="140"/>
      <c r="AF847" s="140"/>
      <c r="AG847" s="140"/>
      <c r="AH847" s="140"/>
      <c r="AI847" s="140"/>
      <c r="AJ847" s="141"/>
      <c r="AK847" s="140"/>
      <c r="AL847" s="140"/>
      <c r="AM847" s="140"/>
      <c r="AN847" s="140"/>
      <c r="AO847" s="140"/>
      <c r="AP847" s="140"/>
      <c r="AQ847" s="138"/>
      <c r="AR847" s="140"/>
      <c r="AS847" s="140"/>
      <c r="AT847" s="140"/>
      <c r="AU847" s="140"/>
      <c r="AV847" s="138"/>
      <c r="AW847" s="138"/>
      <c r="AX847" s="140"/>
      <c r="AY847" s="140"/>
      <c r="AZ847" s="140"/>
      <c r="BA847" s="140"/>
      <c r="BB847" s="140"/>
      <c r="BC847" s="140"/>
    </row>
    <row r="848" ht="15.75" customHeight="1">
      <c r="C848" s="137"/>
      <c r="D848" s="138"/>
      <c r="E848" s="138"/>
      <c r="F848" s="138"/>
      <c r="J848" s="138"/>
      <c r="K848" s="138"/>
      <c r="L848" s="138"/>
      <c r="M848" s="139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32"/>
      <c r="AE848" s="140"/>
      <c r="AF848" s="140"/>
      <c r="AG848" s="140"/>
      <c r="AH848" s="140"/>
      <c r="AI848" s="140"/>
      <c r="AJ848" s="141"/>
      <c r="AK848" s="140"/>
      <c r="AL848" s="140"/>
      <c r="AM848" s="140"/>
      <c r="AN848" s="140"/>
      <c r="AO848" s="140"/>
      <c r="AP848" s="140"/>
      <c r="AQ848" s="138"/>
      <c r="AR848" s="140"/>
      <c r="AS848" s="140"/>
      <c r="AT848" s="140"/>
      <c r="AU848" s="140"/>
      <c r="AV848" s="138"/>
      <c r="AW848" s="138"/>
      <c r="AX848" s="140"/>
      <c r="AY848" s="140"/>
      <c r="AZ848" s="140"/>
      <c r="BA848" s="140"/>
      <c r="BB848" s="140"/>
      <c r="BC848" s="140"/>
    </row>
    <row r="849" ht="15.75" customHeight="1">
      <c r="C849" s="137"/>
      <c r="D849" s="138"/>
      <c r="E849" s="138"/>
      <c r="F849" s="138"/>
      <c r="J849" s="138"/>
      <c r="K849" s="138"/>
      <c r="L849" s="138"/>
      <c r="M849" s="139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32"/>
      <c r="AE849" s="140"/>
      <c r="AF849" s="140"/>
      <c r="AG849" s="140"/>
      <c r="AH849" s="140"/>
      <c r="AI849" s="140"/>
      <c r="AJ849" s="141"/>
      <c r="AK849" s="140"/>
      <c r="AL849" s="140"/>
      <c r="AM849" s="140"/>
      <c r="AN849" s="140"/>
      <c r="AO849" s="140"/>
      <c r="AP849" s="140"/>
      <c r="AQ849" s="138"/>
      <c r="AR849" s="140"/>
      <c r="AS849" s="140"/>
      <c r="AT849" s="140"/>
      <c r="AU849" s="140"/>
      <c r="AV849" s="138"/>
      <c r="AW849" s="138"/>
      <c r="AX849" s="140"/>
      <c r="AY849" s="140"/>
      <c r="AZ849" s="140"/>
      <c r="BA849" s="140"/>
      <c r="BB849" s="140"/>
      <c r="BC849" s="140"/>
    </row>
    <row r="850" ht="15.75" customHeight="1">
      <c r="C850" s="137"/>
      <c r="D850" s="138"/>
      <c r="E850" s="138"/>
      <c r="F850" s="138"/>
      <c r="J850" s="138"/>
      <c r="K850" s="138"/>
      <c r="L850" s="138"/>
      <c r="M850" s="139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32"/>
      <c r="AE850" s="140"/>
      <c r="AF850" s="140"/>
      <c r="AG850" s="140"/>
      <c r="AH850" s="140"/>
      <c r="AI850" s="140"/>
      <c r="AJ850" s="141"/>
      <c r="AK850" s="140"/>
      <c r="AL850" s="140"/>
      <c r="AM850" s="140"/>
      <c r="AN850" s="140"/>
      <c r="AO850" s="140"/>
      <c r="AP850" s="140"/>
      <c r="AQ850" s="138"/>
      <c r="AR850" s="140"/>
      <c r="AS850" s="140"/>
      <c r="AT850" s="140"/>
      <c r="AU850" s="140"/>
      <c r="AV850" s="138"/>
      <c r="AW850" s="138"/>
      <c r="AX850" s="140"/>
      <c r="AY850" s="140"/>
      <c r="AZ850" s="140"/>
      <c r="BA850" s="140"/>
      <c r="BB850" s="140"/>
      <c r="BC850" s="140"/>
    </row>
    <row r="851" ht="15.75" customHeight="1">
      <c r="C851" s="137"/>
      <c r="D851" s="138"/>
      <c r="E851" s="138"/>
      <c r="F851" s="138"/>
      <c r="J851" s="138"/>
      <c r="K851" s="138"/>
      <c r="L851" s="138"/>
      <c r="M851" s="139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32"/>
      <c r="AE851" s="140"/>
      <c r="AF851" s="140"/>
      <c r="AG851" s="140"/>
      <c r="AH851" s="140"/>
      <c r="AI851" s="140"/>
      <c r="AJ851" s="141"/>
      <c r="AK851" s="140"/>
      <c r="AL851" s="140"/>
      <c r="AM851" s="140"/>
      <c r="AN851" s="140"/>
      <c r="AO851" s="140"/>
      <c r="AP851" s="140"/>
      <c r="AQ851" s="138"/>
      <c r="AR851" s="140"/>
      <c r="AS851" s="140"/>
      <c r="AT851" s="140"/>
      <c r="AU851" s="140"/>
      <c r="AV851" s="138"/>
      <c r="AW851" s="138"/>
      <c r="AX851" s="140"/>
      <c r="AY851" s="140"/>
      <c r="AZ851" s="140"/>
      <c r="BA851" s="140"/>
      <c r="BB851" s="140"/>
      <c r="BC851" s="140"/>
    </row>
    <row r="852" ht="15.75" customHeight="1">
      <c r="C852" s="137"/>
      <c r="D852" s="138"/>
      <c r="E852" s="138"/>
      <c r="F852" s="138"/>
      <c r="J852" s="138"/>
      <c r="K852" s="138"/>
      <c r="L852" s="138"/>
      <c r="M852" s="139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32"/>
      <c r="AE852" s="140"/>
      <c r="AF852" s="140"/>
      <c r="AG852" s="140"/>
      <c r="AH852" s="140"/>
      <c r="AI852" s="140"/>
      <c r="AJ852" s="141"/>
      <c r="AK852" s="140"/>
      <c r="AL852" s="140"/>
      <c r="AM852" s="140"/>
      <c r="AN852" s="140"/>
      <c r="AO852" s="140"/>
      <c r="AP852" s="140"/>
      <c r="AQ852" s="138"/>
      <c r="AR852" s="140"/>
      <c r="AS852" s="140"/>
      <c r="AT852" s="140"/>
      <c r="AU852" s="140"/>
      <c r="AV852" s="138"/>
      <c r="AW852" s="138"/>
      <c r="AX852" s="140"/>
      <c r="AY852" s="140"/>
      <c r="AZ852" s="140"/>
      <c r="BA852" s="140"/>
      <c r="BB852" s="140"/>
      <c r="BC852" s="140"/>
    </row>
    <row r="853" ht="15.75" customHeight="1">
      <c r="C853" s="137"/>
      <c r="D853" s="138"/>
      <c r="E853" s="138"/>
      <c r="F853" s="138"/>
      <c r="J853" s="138"/>
      <c r="K853" s="138"/>
      <c r="L853" s="138"/>
      <c r="M853" s="139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32"/>
      <c r="AE853" s="140"/>
      <c r="AF853" s="140"/>
      <c r="AG853" s="140"/>
      <c r="AH853" s="140"/>
      <c r="AI853" s="140"/>
      <c r="AJ853" s="141"/>
      <c r="AK853" s="140"/>
      <c r="AL853" s="140"/>
      <c r="AM853" s="140"/>
      <c r="AN853" s="140"/>
      <c r="AO853" s="140"/>
      <c r="AP853" s="140"/>
      <c r="AQ853" s="138"/>
      <c r="AR853" s="140"/>
      <c r="AS853" s="140"/>
      <c r="AT853" s="140"/>
      <c r="AU853" s="140"/>
      <c r="AV853" s="138"/>
      <c r="AW853" s="138"/>
      <c r="AX853" s="140"/>
      <c r="AY853" s="140"/>
      <c r="AZ853" s="140"/>
      <c r="BA853" s="140"/>
      <c r="BB853" s="140"/>
      <c r="BC853" s="140"/>
    </row>
    <row r="854" ht="15.75" customHeight="1">
      <c r="C854" s="137"/>
      <c r="D854" s="138"/>
      <c r="E854" s="138"/>
      <c r="F854" s="138"/>
      <c r="J854" s="138"/>
      <c r="K854" s="138"/>
      <c r="L854" s="138"/>
      <c r="M854" s="139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32"/>
      <c r="AE854" s="140"/>
      <c r="AF854" s="140"/>
      <c r="AG854" s="140"/>
      <c r="AH854" s="140"/>
      <c r="AI854" s="140"/>
      <c r="AJ854" s="141"/>
      <c r="AK854" s="140"/>
      <c r="AL854" s="140"/>
      <c r="AM854" s="140"/>
      <c r="AN854" s="140"/>
      <c r="AO854" s="140"/>
      <c r="AP854" s="140"/>
      <c r="AQ854" s="138"/>
      <c r="AR854" s="140"/>
      <c r="AS854" s="140"/>
      <c r="AT854" s="140"/>
      <c r="AU854" s="140"/>
      <c r="AV854" s="138"/>
      <c r="AW854" s="138"/>
      <c r="AX854" s="140"/>
      <c r="AY854" s="140"/>
      <c r="AZ854" s="140"/>
      <c r="BA854" s="140"/>
      <c r="BB854" s="140"/>
      <c r="BC854" s="140"/>
    </row>
    <row r="855" ht="15.75" customHeight="1">
      <c r="C855" s="137"/>
      <c r="D855" s="138"/>
      <c r="E855" s="138"/>
      <c r="F855" s="138"/>
      <c r="J855" s="138"/>
      <c r="K855" s="138"/>
      <c r="L855" s="138"/>
      <c r="M855" s="139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32"/>
      <c r="AE855" s="140"/>
      <c r="AF855" s="140"/>
      <c r="AG855" s="140"/>
      <c r="AH855" s="140"/>
      <c r="AI855" s="140"/>
      <c r="AJ855" s="141"/>
      <c r="AK855" s="140"/>
      <c r="AL855" s="140"/>
      <c r="AM855" s="140"/>
      <c r="AN855" s="140"/>
      <c r="AO855" s="140"/>
      <c r="AP855" s="140"/>
      <c r="AQ855" s="138"/>
      <c r="AR855" s="140"/>
      <c r="AS855" s="140"/>
      <c r="AT855" s="140"/>
      <c r="AU855" s="140"/>
      <c r="AV855" s="138"/>
      <c r="AW855" s="138"/>
      <c r="AX855" s="140"/>
      <c r="AY855" s="140"/>
      <c r="AZ855" s="140"/>
      <c r="BA855" s="140"/>
      <c r="BB855" s="140"/>
      <c r="BC855" s="140"/>
    </row>
    <row r="856" ht="15.75" customHeight="1">
      <c r="C856" s="137"/>
      <c r="D856" s="138"/>
      <c r="E856" s="138"/>
      <c r="F856" s="138"/>
      <c r="J856" s="138"/>
      <c r="K856" s="138"/>
      <c r="L856" s="138"/>
      <c r="M856" s="139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32"/>
      <c r="AE856" s="140"/>
      <c r="AF856" s="140"/>
      <c r="AG856" s="140"/>
      <c r="AH856" s="140"/>
      <c r="AI856" s="140"/>
      <c r="AJ856" s="141"/>
      <c r="AK856" s="140"/>
      <c r="AL856" s="140"/>
      <c r="AM856" s="140"/>
      <c r="AN856" s="140"/>
      <c r="AO856" s="140"/>
      <c r="AP856" s="140"/>
      <c r="AQ856" s="138"/>
      <c r="AR856" s="140"/>
      <c r="AS856" s="140"/>
      <c r="AT856" s="140"/>
      <c r="AU856" s="140"/>
      <c r="AV856" s="138"/>
      <c r="AW856" s="138"/>
      <c r="AX856" s="140"/>
      <c r="AY856" s="140"/>
      <c r="AZ856" s="140"/>
      <c r="BA856" s="140"/>
      <c r="BB856" s="140"/>
      <c r="BC856" s="140"/>
    </row>
    <row r="857" ht="15.75" customHeight="1">
      <c r="C857" s="137"/>
      <c r="D857" s="138"/>
      <c r="E857" s="138"/>
      <c r="F857" s="138"/>
      <c r="J857" s="138"/>
      <c r="K857" s="138"/>
      <c r="L857" s="138"/>
      <c r="M857" s="139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32"/>
      <c r="AE857" s="140"/>
      <c r="AF857" s="140"/>
      <c r="AG857" s="140"/>
      <c r="AH857" s="140"/>
      <c r="AI857" s="140"/>
      <c r="AJ857" s="141"/>
      <c r="AK857" s="140"/>
      <c r="AL857" s="140"/>
      <c r="AM857" s="140"/>
      <c r="AN857" s="140"/>
      <c r="AO857" s="140"/>
      <c r="AP857" s="140"/>
      <c r="AQ857" s="138"/>
      <c r="AR857" s="140"/>
      <c r="AS857" s="140"/>
      <c r="AT857" s="140"/>
      <c r="AU857" s="140"/>
      <c r="AV857" s="138"/>
      <c r="AW857" s="138"/>
      <c r="AX857" s="140"/>
      <c r="AY857" s="140"/>
      <c r="AZ857" s="140"/>
      <c r="BA857" s="140"/>
      <c r="BB857" s="140"/>
      <c r="BC857" s="140"/>
    </row>
    <row r="858" ht="15.75" customHeight="1">
      <c r="C858" s="137"/>
      <c r="D858" s="138"/>
      <c r="E858" s="138"/>
      <c r="F858" s="138"/>
      <c r="J858" s="138"/>
      <c r="K858" s="138"/>
      <c r="L858" s="138"/>
      <c r="M858" s="139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32"/>
      <c r="AE858" s="140"/>
      <c r="AF858" s="140"/>
      <c r="AG858" s="140"/>
      <c r="AH858" s="140"/>
      <c r="AI858" s="140"/>
      <c r="AJ858" s="141"/>
      <c r="AK858" s="140"/>
      <c r="AL858" s="140"/>
      <c r="AM858" s="140"/>
      <c r="AN858" s="140"/>
      <c r="AO858" s="140"/>
      <c r="AP858" s="140"/>
      <c r="AQ858" s="138"/>
      <c r="AR858" s="140"/>
      <c r="AS858" s="140"/>
      <c r="AT858" s="140"/>
      <c r="AU858" s="140"/>
      <c r="AV858" s="138"/>
      <c r="AW858" s="138"/>
      <c r="AX858" s="140"/>
      <c r="AY858" s="140"/>
      <c r="AZ858" s="140"/>
      <c r="BA858" s="140"/>
      <c r="BB858" s="140"/>
      <c r="BC858" s="140"/>
    </row>
    <row r="859" ht="15.75" customHeight="1">
      <c r="C859" s="137"/>
      <c r="D859" s="138"/>
      <c r="E859" s="138"/>
      <c r="F859" s="138"/>
      <c r="J859" s="138"/>
      <c r="K859" s="138"/>
      <c r="L859" s="138"/>
      <c r="M859" s="139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32"/>
      <c r="AE859" s="140"/>
      <c r="AF859" s="140"/>
      <c r="AG859" s="140"/>
      <c r="AH859" s="140"/>
      <c r="AI859" s="140"/>
      <c r="AJ859" s="141"/>
      <c r="AK859" s="140"/>
      <c r="AL859" s="140"/>
      <c r="AM859" s="140"/>
      <c r="AN859" s="140"/>
      <c r="AO859" s="140"/>
      <c r="AP859" s="140"/>
      <c r="AQ859" s="138"/>
      <c r="AR859" s="140"/>
      <c r="AS859" s="140"/>
      <c r="AT859" s="140"/>
      <c r="AU859" s="140"/>
      <c r="AV859" s="138"/>
      <c r="AW859" s="138"/>
      <c r="AX859" s="140"/>
      <c r="AY859" s="140"/>
      <c r="AZ859" s="140"/>
      <c r="BA859" s="140"/>
      <c r="BB859" s="140"/>
      <c r="BC859" s="140"/>
    </row>
    <row r="860" ht="15.75" customHeight="1">
      <c r="C860" s="137"/>
      <c r="D860" s="138"/>
      <c r="E860" s="138"/>
      <c r="F860" s="138"/>
      <c r="J860" s="138"/>
      <c r="K860" s="138"/>
      <c r="L860" s="138"/>
      <c r="M860" s="139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32"/>
      <c r="AE860" s="140"/>
      <c r="AF860" s="140"/>
      <c r="AG860" s="140"/>
      <c r="AH860" s="140"/>
      <c r="AI860" s="140"/>
      <c r="AJ860" s="141"/>
      <c r="AK860" s="140"/>
      <c r="AL860" s="140"/>
      <c r="AM860" s="140"/>
      <c r="AN860" s="140"/>
      <c r="AO860" s="140"/>
      <c r="AP860" s="140"/>
      <c r="AQ860" s="138"/>
      <c r="AR860" s="140"/>
      <c r="AS860" s="140"/>
      <c r="AT860" s="140"/>
      <c r="AU860" s="140"/>
      <c r="AV860" s="138"/>
      <c r="AW860" s="138"/>
      <c r="AX860" s="140"/>
      <c r="AY860" s="140"/>
      <c r="AZ860" s="140"/>
      <c r="BA860" s="140"/>
      <c r="BB860" s="140"/>
      <c r="BC860" s="140"/>
    </row>
    <row r="861" ht="15.75" customHeight="1">
      <c r="C861" s="137"/>
      <c r="D861" s="138"/>
      <c r="E861" s="138"/>
      <c r="F861" s="138"/>
      <c r="J861" s="138"/>
      <c r="K861" s="138"/>
      <c r="L861" s="138"/>
      <c r="M861" s="139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32"/>
      <c r="AE861" s="140"/>
      <c r="AF861" s="140"/>
      <c r="AG861" s="140"/>
      <c r="AH861" s="140"/>
      <c r="AI861" s="140"/>
      <c r="AJ861" s="141"/>
      <c r="AK861" s="140"/>
      <c r="AL861" s="140"/>
      <c r="AM861" s="140"/>
      <c r="AN861" s="140"/>
      <c r="AO861" s="140"/>
      <c r="AP861" s="140"/>
      <c r="AQ861" s="138"/>
      <c r="AR861" s="140"/>
      <c r="AS861" s="140"/>
      <c r="AT861" s="140"/>
      <c r="AU861" s="140"/>
      <c r="AV861" s="138"/>
      <c r="AW861" s="138"/>
      <c r="AX861" s="140"/>
      <c r="AY861" s="140"/>
      <c r="AZ861" s="140"/>
      <c r="BA861" s="140"/>
      <c r="BB861" s="140"/>
      <c r="BC861" s="140"/>
    </row>
    <row r="862" ht="15.75" customHeight="1">
      <c r="C862" s="137"/>
      <c r="D862" s="138"/>
      <c r="E862" s="138"/>
      <c r="F862" s="138"/>
      <c r="J862" s="138"/>
      <c r="K862" s="138"/>
      <c r="L862" s="138"/>
      <c r="M862" s="139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32"/>
      <c r="AE862" s="140"/>
      <c r="AF862" s="140"/>
      <c r="AG862" s="140"/>
      <c r="AH862" s="140"/>
      <c r="AI862" s="140"/>
      <c r="AJ862" s="141"/>
      <c r="AK862" s="140"/>
      <c r="AL862" s="140"/>
      <c r="AM862" s="140"/>
      <c r="AN862" s="140"/>
      <c r="AO862" s="140"/>
      <c r="AP862" s="140"/>
      <c r="AQ862" s="138"/>
      <c r="AR862" s="140"/>
      <c r="AS862" s="140"/>
      <c r="AT862" s="140"/>
      <c r="AU862" s="140"/>
      <c r="AV862" s="138"/>
      <c r="AW862" s="138"/>
      <c r="AX862" s="140"/>
      <c r="AY862" s="140"/>
      <c r="AZ862" s="140"/>
      <c r="BA862" s="140"/>
      <c r="BB862" s="140"/>
      <c r="BC862" s="140"/>
    </row>
    <row r="863" ht="15.75" customHeight="1">
      <c r="C863" s="137"/>
      <c r="D863" s="138"/>
      <c r="E863" s="138"/>
      <c r="F863" s="138"/>
      <c r="J863" s="138"/>
      <c r="K863" s="138"/>
      <c r="L863" s="138"/>
      <c r="M863" s="139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32"/>
      <c r="AE863" s="140"/>
      <c r="AF863" s="140"/>
      <c r="AG863" s="140"/>
      <c r="AH863" s="140"/>
      <c r="AI863" s="140"/>
      <c r="AJ863" s="141"/>
      <c r="AK863" s="140"/>
      <c r="AL863" s="140"/>
      <c r="AM863" s="140"/>
      <c r="AN863" s="140"/>
      <c r="AO863" s="140"/>
      <c r="AP863" s="140"/>
      <c r="AQ863" s="138"/>
      <c r="AR863" s="140"/>
      <c r="AS863" s="140"/>
      <c r="AT863" s="140"/>
      <c r="AU863" s="140"/>
      <c r="AV863" s="138"/>
      <c r="AW863" s="138"/>
      <c r="AX863" s="140"/>
      <c r="AY863" s="140"/>
      <c r="AZ863" s="140"/>
      <c r="BA863" s="140"/>
      <c r="BB863" s="140"/>
      <c r="BC863" s="140"/>
    </row>
    <row r="864" ht="15.75" customHeight="1">
      <c r="C864" s="137"/>
      <c r="D864" s="138"/>
      <c r="E864" s="138"/>
      <c r="F864" s="138"/>
      <c r="J864" s="138"/>
      <c r="K864" s="138"/>
      <c r="L864" s="138"/>
      <c r="M864" s="139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32"/>
      <c r="AE864" s="140"/>
      <c r="AF864" s="140"/>
      <c r="AG864" s="140"/>
      <c r="AH864" s="140"/>
      <c r="AI864" s="140"/>
      <c r="AJ864" s="141"/>
      <c r="AK864" s="140"/>
      <c r="AL864" s="140"/>
      <c r="AM864" s="140"/>
      <c r="AN864" s="140"/>
      <c r="AO864" s="140"/>
      <c r="AP864" s="140"/>
      <c r="AQ864" s="138"/>
      <c r="AR864" s="140"/>
      <c r="AS864" s="140"/>
      <c r="AT864" s="140"/>
      <c r="AU864" s="140"/>
      <c r="AV864" s="138"/>
      <c r="AW864" s="138"/>
      <c r="AX864" s="140"/>
      <c r="AY864" s="140"/>
      <c r="AZ864" s="140"/>
      <c r="BA864" s="140"/>
      <c r="BB864" s="140"/>
      <c r="BC864" s="140"/>
    </row>
    <row r="865" ht="15.75" customHeight="1">
      <c r="C865" s="137"/>
      <c r="D865" s="138"/>
      <c r="E865" s="138"/>
      <c r="F865" s="138"/>
      <c r="J865" s="138"/>
      <c r="K865" s="138"/>
      <c r="L865" s="138"/>
      <c r="M865" s="139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32"/>
      <c r="AE865" s="140"/>
      <c r="AF865" s="140"/>
      <c r="AG865" s="140"/>
      <c r="AH865" s="140"/>
      <c r="AI865" s="140"/>
      <c r="AJ865" s="141"/>
      <c r="AK865" s="140"/>
      <c r="AL865" s="140"/>
      <c r="AM865" s="140"/>
      <c r="AN865" s="140"/>
      <c r="AO865" s="140"/>
      <c r="AP865" s="140"/>
      <c r="AQ865" s="138"/>
      <c r="AR865" s="140"/>
      <c r="AS865" s="140"/>
      <c r="AT865" s="140"/>
      <c r="AU865" s="140"/>
      <c r="AV865" s="138"/>
      <c r="AW865" s="138"/>
      <c r="AX865" s="140"/>
      <c r="AY865" s="140"/>
      <c r="AZ865" s="140"/>
      <c r="BA865" s="140"/>
      <c r="BB865" s="140"/>
      <c r="BC865" s="140"/>
    </row>
    <row r="866" ht="15.75" customHeight="1">
      <c r="C866" s="137"/>
      <c r="D866" s="138"/>
      <c r="E866" s="138"/>
      <c r="F866" s="138"/>
      <c r="J866" s="138"/>
      <c r="K866" s="138"/>
      <c r="L866" s="138"/>
      <c r="M866" s="139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32"/>
      <c r="AE866" s="140"/>
      <c r="AF866" s="140"/>
      <c r="AG866" s="140"/>
      <c r="AH866" s="140"/>
      <c r="AI866" s="140"/>
      <c r="AJ866" s="141"/>
      <c r="AK866" s="140"/>
      <c r="AL866" s="140"/>
      <c r="AM866" s="140"/>
      <c r="AN866" s="140"/>
      <c r="AO866" s="140"/>
      <c r="AP866" s="140"/>
      <c r="AQ866" s="138"/>
      <c r="AR866" s="140"/>
      <c r="AS866" s="140"/>
      <c r="AT866" s="140"/>
      <c r="AU866" s="140"/>
      <c r="AV866" s="138"/>
      <c r="AW866" s="138"/>
      <c r="AX866" s="140"/>
      <c r="AY866" s="140"/>
      <c r="AZ866" s="140"/>
      <c r="BA866" s="140"/>
      <c r="BB866" s="140"/>
      <c r="BC866" s="140"/>
    </row>
    <row r="867" ht="15.75" customHeight="1">
      <c r="C867" s="137"/>
      <c r="D867" s="138"/>
      <c r="E867" s="138"/>
      <c r="F867" s="138"/>
      <c r="J867" s="138"/>
      <c r="K867" s="138"/>
      <c r="L867" s="138"/>
      <c r="M867" s="139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32"/>
      <c r="AE867" s="140"/>
      <c r="AF867" s="140"/>
      <c r="AG867" s="140"/>
      <c r="AH867" s="140"/>
      <c r="AI867" s="140"/>
      <c r="AJ867" s="141"/>
      <c r="AK867" s="140"/>
      <c r="AL867" s="140"/>
      <c r="AM867" s="140"/>
      <c r="AN867" s="140"/>
      <c r="AO867" s="140"/>
      <c r="AP867" s="140"/>
      <c r="AQ867" s="138"/>
      <c r="AR867" s="140"/>
      <c r="AS867" s="140"/>
      <c r="AT867" s="140"/>
      <c r="AU867" s="140"/>
      <c r="AV867" s="138"/>
      <c r="AW867" s="138"/>
      <c r="AX867" s="140"/>
      <c r="AY867" s="140"/>
      <c r="AZ867" s="140"/>
      <c r="BA867" s="140"/>
      <c r="BB867" s="140"/>
      <c r="BC867" s="140"/>
    </row>
    <row r="868" ht="15.75" customHeight="1">
      <c r="C868" s="137"/>
      <c r="D868" s="138"/>
      <c r="E868" s="138"/>
      <c r="F868" s="138"/>
      <c r="J868" s="138"/>
      <c r="K868" s="138"/>
      <c r="L868" s="138"/>
      <c r="M868" s="139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32"/>
      <c r="AE868" s="140"/>
      <c r="AF868" s="140"/>
      <c r="AG868" s="140"/>
      <c r="AH868" s="140"/>
      <c r="AI868" s="140"/>
      <c r="AJ868" s="141"/>
      <c r="AK868" s="140"/>
      <c r="AL868" s="140"/>
      <c r="AM868" s="140"/>
      <c r="AN868" s="140"/>
      <c r="AO868" s="140"/>
      <c r="AP868" s="140"/>
      <c r="AQ868" s="138"/>
      <c r="AR868" s="140"/>
      <c r="AS868" s="140"/>
      <c r="AT868" s="140"/>
      <c r="AU868" s="140"/>
      <c r="AV868" s="138"/>
      <c r="AW868" s="138"/>
      <c r="AX868" s="140"/>
      <c r="AY868" s="140"/>
      <c r="AZ868" s="140"/>
      <c r="BA868" s="140"/>
      <c r="BB868" s="140"/>
      <c r="BC868" s="140"/>
    </row>
    <row r="869" ht="15.75" customHeight="1">
      <c r="C869" s="137"/>
      <c r="D869" s="138"/>
      <c r="E869" s="138"/>
      <c r="F869" s="138"/>
      <c r="J869" s="138"/>
      <c r="K869" s="138"/>
      <c r="L869" s="138"/>
      <c r="M869" s="139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32"/>
      <c r="AE869" s="140"/>
      <c r="AF869" s="140"/>
      <c r="AG869" s="140"/>
      <c r="AH869" s="140"/>
      <c r="AI869" s="140"/>
      <c r="AJ869" s="141"/>
      <c r="AK869" s="140"/>
      <c r="AL869" s="140"/>
      <c r="AM869" s="140"/>
      <c r="AN869" s="140"/>
      <c r="AO869" s="140"/>
      <c r="AP869" s="140"/>
      <c r="AQ869" s="138"/>
      <c r="AR869" s="140"/>
      <c r="AS869" s="140"/>
      <c r="AT869" s="140"/>
      <c r="AU869" s="140"/>
      <c r="AV869" s="138"/>
      <c r="AW869" s="138"/>
      <c r="AX869" s="140"/>
      <c r="AY869" s="140"/>
      <c r="AZ869" s="140"/>
      <c r="BA869" s="140"/>
      <c r="BB869" s="140"/>
      <c r="BC869" s="140"/>
    </row>
    <row r="870" ht="15.75" customHeight="1">
      <c r="C870" s="137"/>
      <c r="D870" s="138"/>
      <c r="E870" s="138"/>
      <c r="F870" s="138"/>
      <c r="J870" s="138"/>
      <c r="K870" s="138"/>
      <c r="L870" s="138"/>
      <c r="M870" s="139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32"/>
      <c r="AE870" s="140"/>
      <c r="AF870" s="140"/>
      <c r="AG870" s="140"/>
      <c r="AH870" s="140"/>
      <c r="AI870" s="140"/>
      <c r="AJ870" s="141"/>
      <c r="AK870" s="140"/>
      <c r="AL870" s="140"/>
      <c r="AM870" s="140"/>
      <c r="AN870" s="140"/>
      <c r="AO870" s="140"/>
      <c r="AP870" s="140"/>
      <c r="AQ870" s="138"/>
      <c r="AR870" s="140"/>
      <c r="AS870" s="140"/>
      <c r="AT870" s="140"/>
      <c r="AU870" s="140"/>
      <c r="AV870" s="138"/>
      <c r="AW870" s="138"/>
      <c r="AX870" s="140"/>
      <c r="AY870" s="140"/>
      <c r="AZ870" s="140"/>
      <c r="BA870" s="140"/>
      <c r="BB870" s="140"/>
      <c r="BC870" s="140"/>
    </row>
    <row r="871" ht="15.75" customHeight="1">
      <c r="C871" s="137"/>
      <c r="D871" s="138"/>
      <c r="E871" s="138"/>
      <c r="F871" s="138"/>
      <c r="J871" s="138"/>
      <c r="K871" s="138"/>
      <c r="L871" s="138"/>
      <c r="M871" s="139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32"/>
      <c r="AE871" s="140"/>
      <c r="AF871" s="140"/>
      <c r="AG871" s="140"/>
      <c r="AH871" s="140"/>
      <c r="AI871" s="140"/>
      <c r="AJ871" s="141"/>
      <c r="AK871" s="140"/>
      <c r="AL871" s="140"/>
      <c r="AM871" s="140"/>
      <c r="AN871" s="140"/>
      <c r="AO871" s="140"/>
      <c r="AP871" s="140"/>
      <c r="AQ871" s="138"/>
      <c r="AR871" s="140"/>
      <c r="AS871" s="140"/>
      <c r="AT871" s="140"/>
      <c r="AU871" s="140"/>
      <c r="AV871" s="138"/>
      <c r="AW871" s="138"/>
      <c r="AX871" s="140"/>
      <c r="AY871" s="140"/>
      <c r="AZ871" s="140"/>
      <c r="BA871" s="140"/>
      <c r="BB871" s="140"/>
      <c r="BC871" s="140"/>
    </row>
    <row r="872" ht="15.75" customHeight="1">
      <c r="C872" s="137"/>
      <c r="D872" s="138"/>
      <c r="E872" s="138"/>
      <c r="F872" s="138"/>
      <c r="J872" s="138"/>
      <c r="K872" s="138"/>
      <c r="L872" s="138"/>
      <c r="M872" s="139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32"/>
      <c r="AE872" s="140"/>
      <c r="AF872" s="140"/>
      <c r="AG872" s="140"/>
      <c r="AH872" s="140"/>
      <c r="AI872" s="140"/>
      <c r="AJ872" s="141"/>
      <c r="AK872" s="140"/>
      <c r="AL872" s="140"/>
      <c r="AM872" s="140"/>
      <c r="AN872" s="140"/>
      <c r="AO872" s="140"/>
      <c r="AP872" s="140"/>
      <c r="AQ872" s="138"/>
      <c r="AR872" s="140"/>
      <c r="AS872" s="140"/>
      <c r="AT872" s="140"/>
      <c r="AU872" s="140"/>
      <c r="AV872" s="138"/>
      <c r="AW872" s="138"/>
      <c r="AX872" s="140"/>
      <c r="AY872" s="140"/>
      <c r="AZ872" s="140"/>
      <c r="BA872" s="140"/>
      <c r="BB872" s="140"/>
      <c r="BC872" s="140"/>
    </row>
    <row r="873" ht="15.75" customHeight="1">
      <c r="C873" s="137"/>
      <c r="D873" s="138"/>
      <c r="E873" s="138"/>
      <c r="F873" s="138"/>
      <c r="J873" s="138"/>
      <c r="K873" s="138"/>
      <c r="L873" s="138"/>
      <c r="M873" s="139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32"/>
      <c r="AE873" s="140"/>
      <c r="AF873" s="140"/>
      <c r="AG873" s="140"/>
      <c r="AH873" s="140"/>
      <c r="AI873" s="140"/>
      <c r="AJ873" s="141"/>
      <c r="AK873" s="140"/>
      <c r="AL873" s="140"/>
      <c r="AM873" s="140"/>
      <c r="AN873" s="140"/>
      <c r="AO873" s="140"/>
      <c r="AP873" s="140"/>
      <c r="AQ873" s="138"/>
      <c r="AR873" s="140"/>
      <c r="AS873" s="140"/>
      <c r="AT873" s="140"/>
      <c r="AU873" s="140"/>
      <c r="AV873" s="138"/>
      <c r="AW873" s="138"/>
      <c r="AX873" s="140"/>
      <c r="AY873" s="140"/>
      <c r="AZ873" s="140"/>
      <c r="BA873" s="140"/>
      <c r="BB873" s="140"/>
      <c r="BC873" s="140"/>
    </row>
    <row r="874" ht="15.75" customHeight="1">
      <c r="C874" s="137"/>
      <c r="D874" s="138"/>
      <c r="E874" s="138"/>
      <c r="F874" s="138"/>
      <c r="J874" s="138"/>
      <c r="K874" s="138"/>
      <c r="L874" s="138"/>
      <c r="M874" s="139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32"/>
      <c r="AE874" s="140"/>
      <c r="AF874" s="140"/>
      <c r="AG874" s="140"/>
      <c r="AH874" s="140"/>
      <c r="AI874" s="140"/>
      <c r="AJ874" s="141"/>
      <c r="AK874" s="140"/>
      <c r="AL874" s="140"/>
      <c r="AM874" s="140"/>
      <c r="AN874" s="140"/>
      <c r="AO874" s="140"/>
      <c r="AP874" s="140"/>
      <c r="AQ874" s="138"/>
      <c r="AR874" s="140"/>
      <c r="AS874" s="140"/>
      <c r="AT874" s="140"/>
      <c r="AU874" s="140"/>
      <c r="AV874" s="138"/>
      <c r="AW874" s="138"/>
      <c r="AX874" s="140"/>
      <c r="AY874" s="140"/>
      <c r="AZ874" s="140"/>
      <c r="BA874" s="140"/>
      <c r="BB874" s="140"/>
      <c r="BC874" s="140"/>
    </row>
    <row r="875" ht="15.75" customHeight="1">
      <c r="C875" s="137"/>
      <c r="D875" s="138"/>
      <c r="E875" s="138"/>
      <c r="F875" s="138"/>
      <c r="J875" s="138"/>
      <c r="K875" s="138"/>
      <c r="L875" s="138"/>
      <c r="M875" s="139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32"/>
      <c r="AE875" s="140"/>
      <c r="AF875" s="140"/>
      <c r="AG875" s="140"/>
      <c r="AH875" s="140"/>
      <c r="AI875" s="140"/>
      <c r="AJ875" s="141"/>
      <c r="AK875" s="140"/>
      <c r="AL875" s="140"/>
      <c r="AM875" s="140"/>
      <c r="AN875" s="140"/>
      <c r="AO875" s="140"/>
      <c r="AP875" s="140"/>
      <c r="AQ875" s="138"/>
      <c r="AR875" s="140"/>
      <c r="AS875" s="140"/>
      <c r="AT875" s="140"/>
      <c r="AU875" s="140"/>
      <c r="AV875" s="138"/>
      <c r="AW875" s="138"/>
      <c r="AX875" s="140"/>
      <c r="AY875" s="140"/>
      <c r="AZ875" s="140"/>
      <c r="BA875" s="140"/>
      <c r="BB875" s="140"/>
      <c r="BC875" s="140"/>
    </row>
    <row r="876" ht="15.75" customHeight="1">
      <c r="C876" s="137"/>
      <c r="D876" s="138"/>
      <c r="E876" s="138"/>
      <c r="F876" s="138"/>
      <c r="J876" s="138"/>
      <c r="K876" s="138"/>
      <c r="L876" s="138"/>
      <c r="M876" s="139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32"/>
      <c r="AE876" s="140"/>
      <c r="AF876" s="140"/>
      <c r="AG876" s="140"/>
      <c r="AH876" s="140"/>
      <c r="AI876" s="140"/>
      <c r="AJ876" s="141"/>
      <c r="AK876" s="140"/>
      <c r="AL876" s="140"/>
      <c r="AM876" s="140"/>
      <c r="AN876" s="140"/>
      <c r="AO876" s="140"/>
      <c r="AP876" s="140"/>
      <c r="AQ876" s="138"/>
      <c r="AR876" s="140"/>
      <c r="AS876" s="140"/>
      <c r="AT876" s="140"/>
      <c r="AU876" s="140"/>
      <c r="AV876" s="138"/>
      <c r="AW876" s="138"/>
      <c r="AX876" s="140"/>
      <c r="AY876" s="140"/>
      <c r="AZ876" s="140"/>
      <c r="BA876" s="140"/>
      <c r="BB876" s="140"/>
      <c r="BC876" s="140"/>
    </row>
    <row r="877" ht="15.75" customHeight="1">
      <c r="C877" s="137"/>
      <c r="D877" s="138"/>
      <c r="E877" s="138"/>
      <c r="F877" s="138"/>
      <c r="J877" s="138"/>
      <c r="K877" s="138"/>
      <c r="L877" s="138"/>
      <c r="M877" s="139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32"/>
      <c r="AE877" s="140"/>
      <c r="AF877" s="140"/>
      <c r="AG877" s="140"/>
      <c r="AH877" s="140"/>
      <c r="AI877" s="140"/>
      <c r="AJ877" s="141"/>
      <c r="AK877" s="140"/>
      <c r="AL877" s="140"/>
      <c r="AM877" s="140"/>
      <c r="AN877" s="140"/>
      <c r="AO877" s="140"/>
      <c r="AP877" s="140"/>
      <c r="AQ877" s="138"/>
      <c r="AR877" s="140"/>
      <c r="AS877" s="140"/>
      <c r="AT877" s="140"/>
      <c r="AU877" s="140"/>
      <c r="AV877" s="138"/>
      <c r="AW877" s="138"/>
      <c r="AX877" s="140"/>
      <c r="AY877" s="140"/>
      <c r="AZ877" s="140"/>
      <c r="BA877" s="140"/>
      <c r="BB877" s="140"/>
      <c r="BC877" s="140"/>
    </row>
    <row r="878" ht="15.75" customHeight="1">
      <c r="C878" s="137"/>
      <c r="D878" s="138"/>
      <c r="E878" s="138"/>
      <c r="F878" s="138"/>
      <c r="J878" s="138"/>
      <c r="K878" s="138"/>
      <c r="L878" s="138"/>
      <c r="M878" s="139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32"/>
      <c r="AE878" s="140"/>
      <c r="AF878" s="140"/>
      <c r="AG878" s="140"/>
      <c r="AH878" s="140"/>
      <c r="AI878" s="140"/>
      <c r="AJ878" s="141"/>
      <c r="AK878" s="140"/>
      <c r="AL878" s="140"/>
      <c r="AM878" s="140"/>
      <c r="AN878" s="140"/>
      <c r="AO878" s="140"/>
      <c r="AP878" s="140"/>
      <c r="AQ878" s="138"/>
      <c r="AR878" s="140"/>
      <c r="AS878" s="140"/>
      <c r="AT878" s="140"/>
      <c r="AU878" s="140"/>
      <c r="AV878" s="138"/>
      <c r="AW878" s="138"/>
      <c r="AX878" s="140"/>
      <c r="AY878" s="140"/>
      <c r="AZ878" s="140"/>
      <c r="BA878" s="140"/>
      <c r="BB878" s="140"/>
      <c r="BC878" s="140"/>
    </row>
    <row r="879" ht="15.75" customHeight="1">
      <c r="C879" s="137"/>
      <c r="D879" s="138"/>
      <c r="E879" s="138"/>
      <c r="F879" s="138"/>
      <c r="J879" s="138"/>
      <c r="K879" s="138"/>
      <c r="L879" s="138"/>
      <c r="M879" s="139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32"/>
      <c r="AE879" s="140"/>
      <c r="AF879" s="140"/>
      <c r="AG879" s="140"/>
      <c r="AH879" s="140"/>
      <c r="AI879" s="140"/>
      <c r="AJ879" s="141"/>
      <c r="AK879" s="140"/>
      <c r="AL879" s="140"/>
      <c r="AM879" s="140"/>
      <c r="AN879" s="140"/>
      <c r="AO879" s="140"/>
      <c r="AP879" s="140"/>
      <c r="AQ879" s="138"/>
      <c r="AR879" s="140"/>
      <c r="AS879" s="140"/>
      <c r="AT879" s="140"/>
      <c r="AU879" s="140"/>
      <c r="AV879" s="138"/>
      <c r="AW879" s="138"/>
      <c r="AX879" s="140"/>
      <c r="AY879" s="140"/>
      <c r="AZ879" s="140"/>
      <c r="BA879" s="140"/>
      <c r="BB879" s="140"/>
      <c r="BC879" s="140"/>
    </row>
    <row r="880" ht="15.75" customHeight="1">
      <c r="C880" s="137"/>
      <c r="D880" s="138"/>
      <c r="E880" s="138"/>
      <c r="F880" s="138"/>
      <c r="J880" s="138"/>
      <c r="K880" s="138"/>
      <c r="L880" s="138"/>
      <c r="M880" s="139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32"/>
      <c r="AE880" s="140"/>
      <c r="AF880" s="140"/>
      <c r="AG880" s="140"/>
      <c r="AH880" s="140"/>
      <c r="AI880" s="140"/>
      <c r="AJ880" s="141"/>
      <c r="AK880" s="140"/>
      <c r="AL880" s="140"/>
      <c r="AM880" s="140"/>
      <c r="AN880" s="140"/>
      <c r="AO880" s="140"/>
      <c r="AP880" s="140"/>
      <c r="AQ880" s="138"/>
      <c r="AR880" s="140"/>
      <c r="AS880" s="140"/>
      <c r="AT880" s="140"/>
      <c r="AU880" s="140"/>
      <c r="AV880" s="138"/>
      <c r="AW880" s="138"/>
      <c r="AX880" s="140"/>
      <c r="AY880" s="140"/>
      <c r="AZ880" s="140"/>
      <c r="BA880" s="140"/>
      <c r="BB880" s="140"/>
      <c r="BC880" s="140"/>
    </row>
    <row r="881" ht="15.75" customHeight="1">
      <c r="C881" s="137"/>
      <c r="D881" s="138"/>
      <c r="E881" s="138"/>
      <c r="F881" s="138"/>
      <c r="J881" s="138"/>
      <c r="K881" s="138"/>
      <c r="L881" s="138"/>
      <c r="M881" s="139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32"/>
      <c r="AE881" s="140"/>
      <c r="AF881" s="140"/>
      <c r="AG881" s="140"/>
      <c r="AH881" s="140"/>
      <c r="AI881" s="140"/>
      <c r="AJ881" s="141"/>
      <c r="AK881" s="140"/>
      <c r="AL881" s="140"/>
      <c r="AM881" s="140"/>
      <c r="AN881" s="140"/>
      <c r="AO881" s="140"/>
      <c r="AP881" s="140"/>
      <c r="AQ881" s="138"/>
      <c r="AR881" s="140"/>
      <c r="AS881" s="140"/>
      <c r="AT881" s="140"/>
      <c r="AU881" s="140"/>
      <c r="AV881" s="138"/>
      <c r="AW881" s="138"/>
      <c r="AX881" s="140"/>
      <c r="AY881" s="140"/>
      <c r="AZ881" s="140"/>
      <c r="BA881" s="140"/>
      <c r="BB881" s="140"/>
      <c r="BC881" s="140"/>
    </row>
    <row r="882" ht="15.75" customHeight="1">
      <c r="C882" s="137"/>
      <c r="D882" s="138"/>
      <c r="E882" s="138"/>
      <c r="F882" s="138"/>
      <c r="J882" s="138"/>
      <c r="K882" s="138"/>
      <c r="L882" s="138"/>
      <c r="M882" s="139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32"/>
      <c r="AE882" s="140"/>
      <c r="AF882" s="140"/>
      <c r="AG882" s="140"/>
      <c r="AH882" s="140"/>
      <c r="AI882" s="140"/>
      <c r="AJ882" s="141"/>
      <c r="AK882" s="140"/>
      <c r="AL882" s="140"/>
      <c r="AM882" s="140"/>
      <c r="AN882" s="140"/>
      <c r="AO882" s="140"/>
      <c r="AP882" s="140"/>
      <c r="AQ882" s="138"/>
      <c r="AR882" s="140"/>
      <c r="AS882" s="140"/>
      <c r="AT882" s="140"/>
      <c r="AU882" s="140"/>
      <c r="AV882" s="138"/>
      <c r="AW882" s="138"/>
      <c r="AX882" s="140"/>
      <c r="AY882" s="140"/>
      <c r="AZ882" s="140"/>
      <c r="BA882" s="140"/>
      <c r="BB882" s="140"/>
      <c r="BC882" s="140"/>
    </row>
    <row r="883" ht="15.75" customHeight="1">
      <c r="C883" s="137"/>
      <c r="D883" s="138"/>
      <c r="E883" s="138"/>
      <c r="F883" s="138"/>
      <c r="J883" s="138"/>
      <c r="K883" s="138"/>
      <c r="L883" s="138"/>
      <c r="M883" s="139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32"/>
      <c r="AE883" s="140"/>
      <c r="AF883" s="140"/>
      <c r="AG883" s="140"/>
      <c r="AH883" s="140"/>
      <c r="AI883" s="140"/>
      <c r="AJ883" s="141"/>
      <c r="AK883" s="140"/>
      <c r="AL883" s="140"/>
      <c r="AM883" s="140"/>
      <c r="AN883" s="140"/>
      <c r="AO883" s="140"/>
      <c r="AP883" s="140"/>
      <c r="AQ883" s="138"/>
      <c r="AR883" s="140"/>
      <c r="AS883" s="140"/>
      <c r="AT883" s="140"/>
      <c r="AU883" s="140"/>
      <c r="AV883" s="138"/>
      <c r="AW883" s="138"/>
      <c r="AX883" s="140"/>
      <c r="AY883" s="140"/>
      <c r="AZ883" s="140"/>
      <c r="BA883" s="140"/>
      <c r="BB883" s="140"/>
      <c r="BC883" s="140"/>
    </row>
    <row r="884" ht="15.75" customHeight="1">
      <c r="C884" s="137"/>
      <c r="D884" s="138"/>
      <c r="E884" s="138"/>
      <c r="F884" s="138"/>
      <c r="J884" s="138"/>
      <c r="K884" s="138"/>
      <c r="L884" s="138"/>
      <c r="M884" s="139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32"/>
      <c r="AE884" s="140"/>
      <c r="AF884" s="140"/>
      <c r="AG884" s="140"/>
      <c r="AH884" s="140"/>
      <c r="AI884" s="140"/>
      <c r="AJ884" s="141"/>
      <c r="AK884" s="140"/>
      <c r="AL884" s="140"/>
      <c r="AM884" s="140"/>
      <c r="AN884" s="140"/>
      <c r="AO884" s="140"/>
      <c r="AP884" s="140"/>
      <c r="AQ884" s="138"/>
      <c r="AR884" s="140"/>
      <c r="AS884" s="140"/>
      <c r="AT884" s="140"/>
      <c r="AU884" s="140"/>
      <c r="AV884" s="138"/>
      <c r="AW884" s="138"/>
      <c r="AX884" s="140"/>
      <c r="AY884" s="140"/>
      <c r="AZ884" s="140"/>
      <c r="BA884" s="140"/>
      <c r="BB884" s="140"/>
      <c r="BC884" s="140"/>
    </row>
    <row r="885" ht="15.75" customHeight="1">
      <c r="C885" s="137"/>
      <c r="D885" s="138"/>
      <c r="E885" s="138"/>
      <c r="F885" s="138"/>
      <c r="J885" s="138"/>
      <c r="K885" s="138"/>
      <c r="L885" s="138"/>
      <c r="M885" s="139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32"/>
      <c r="AE885" s="140"/>
      <c r="AF885" s="140"/>
      <c r="AG885" s="140"/>
      <c r="AH885" s="140"/>
      <c r="AI885" s="140"/>
      <c r="AJ885" s="141"/>
      <c r="AK885" s="140"/>
      <c r="AL885" s="140"/>
      <c r="AM885" s="140"/>
      <c r="AN885" s="140"/>
      <c r="AO885" s="140"/>
      <c r="AP885" s="140"/>
      <c r="AQ885" s="138"/>
      <c r="AR885" s="140"/>
      <c r="AS885" s="140"/>
      <c r="AT885" s="140"/>
      <c r="AU885" s="140"/>
      <c r="AV885" s="138"/>
      <c r="AW885" s="138"/>
      <c r="AX885" s="140"/>
      <c r="AY885" s="140"/>
      <c r="AZ885" s="140"/>
      <c r="BA885" s="140"/>
      <c r="BB885" s="140"/>
      <c r="BC885" s="140"/>
    </row>
    <row r="886" ht="15.75" customHeight="1">
      <c r="C886" s="137"/>
      <c r="D886" s="138"/>
      <c r="E886" s="138"/>
      <c r="F886" s="138"/>
      <c r="J886" s="138"/>
      <c r="K886" s="138"/>
      <c r="L886" s="138"/>
      <c r="M886" s="139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32"/>
      <c r="AE886" s="140"/>
      <c r="AF886" s="140"/>
      <c r="AG886" s="140"/>
      <c r="AH886" s="140"/>
      <c r="AI886" s="140"/>
      <c r="AJ886" s="141"/>
      <c r="AK886" s="140"/>
      <c r="AL886" s="140"/>
      <c r="AM886" s="140"/>
      <c r="AN886" s="140"/>
      <c r="AO886" s="140"/>
      <c r="AP886" s="140"/>
      <c r="AQ886" s="138"/>
      <c r="AR886" s="140"/>
      <c r="AS886" s="140"/>
      <c r="AT886" s="140"/>
      <c r="AU886" s="140"/>
      <c r="AV886" s="138"/>
      <c r="AW886" s="138"/>
      <c r="AX886" s="140"/>
      <c r="AY886" s="140"/>
      <c r="AZ886" s="140"/>
      <c r="BA886" s="140"/>
      <c r="BB886" s="140"/>
      <c r="BC886" s="140"/>
    </row>
    <row r="887" ht="15.75" customHeight="1">
      <c r="C887" s="137"/>
      <c r="D887" s="138"/>
      <c r="E887" s="138"/>
      <c r="F887" s="138"/>
      <c r="J887" s="138"/>
      <c r="K887" s="138"/>
      <c r="L887" s="138"/>
      <c r="M887" s="139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32"/>
      <c r="AE887" s="140"/>
      <c r="AF887" s="140"/>
      <c r="AG887" s="140"/>
      <c r="AH887" s="140"/>
      <c r="AI887" s="140"/>
      <c r="AJ887" s="141"/>
      <c r="AK887" s="140"/>
      <c r="AL887" s="140"/>
      <c r="AM887" s="140"/>
      <c r="AN887" s="140"/>
      <c r="AO887" s="140"/>
      <c r="AP887" s="140"/>
      <c r="AQ887" s="138"/>
      <c r="AR887" s="140"/>
      <c r="AS887" s="140"/>
      <c r="AT887" s="140"/>
      <c r="AU887" s="140"/>
      <c r="AV887" s="138"/>
      <c r="AW887" s="138"/>
      <c r="AX887" s="140"/>
      <c r="AY887" s="140"/>
      <c r="AZ887" s="140"/>
      <c r="BA887" s="140"/>
      <c r="BB887" s="140"/>
      <c r="BC887" s="140"/>
    </row>
    <row r="888" ht="15.75" customHeight="1">
      <c r="C888" s="137"/>
      <c r="D888" s="138"/>
      <c r="E888" s="138"/>
      <c r="F888" s="138"/>
      <c r="J888" s="138"/>
      <c r="K888" s="138"/>
      <c r="L888" s="138"/>
      <c r="M888" s="139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32"/>
      <c r="AE888" s="140"/>
      <c r="AF888" s="140"/>
      <c r="AG888" s="140"/>
      <c r="AH888" s="140"/>
      <c r="AI888" s="140"/>
      <c r="AJ888" s="141"/>
      <c r="AK888" s="140"/>
      <c r="AL888" s="140"/>
      <c r="AM888" s="140"/>
      <c r="AN888" s="140"/>
      <c r="AO888" s="140"/>
      <c r="AP888" s="140"/>
      <c r="AQ888" s="138"/>
      <c r="AR888" s="140"/>
      <c r="AS888" s="140"/>
      <c r="AT888" s="140"/>
      <c r="AU888" s="140"/>
      <c r="AV888" s="138"/>
      <c r="AW888" s="138"/>
      <c r="AX888" s="140"/>
      <c r="AY888" s="140"/>
      <c r="AZ888" s="140"/>
      <c r="BA888" s="140"/>
      <c r="BB888" s="140"/>
      <c r="BC888" s="140"/>
    </row>
    <row r="889" ht="15.75" customHeight="1">
      <c r="C889" s="137"/>
      <c r="D889" s="138"/>
      <c r="E889" s="138"/>
      <c r="F889" s="138"/>
      <c r="J889" s="138"/>
      <c r="K889" s="138"/>
      <c r="L889" s="138"/>
      <c r="M889" s="139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32"/>
      <c r="AE889" s="140"/>
      <c r="AF889" s="140"/>
      <c r="AG889" s="140"/>
      <c r="AH889" s="140"/>
      <c r="AI889" s="140"/>
      <c r="AJ889" s="141"/>
      <c r="AK889" s="140"/>
      <c r="AL889" s="140"/>
      <c r="AM889" s="140"/>
      <c r="AN889" s="140"/>
      <c r="AO889" s="140"/>
      <c r="AP889" s="140"/>
      <c r="AQ889" s="138"/>
      <c r="AR889" s="140"/>
      <c r="AS889" s="140"/>
      <c r="AT889" s="140"/>
      <c r="AU889" s="140"/>
      <c r="AV889" s="138"/>
      <c r="AW889" s="138"/>
      <c r="AX889" s="140"/>
      <c r="AY889" s="140"/>
      <c r="AZ889" s="140"/>
      <c r="BA889" s="140"/>
      <c r="BB889" s="140"/>
      <c r="BC889" s="140"/>
    </row>
    <row r="890" ht="15.75" customHeight="1">
      <c r="C890" s="137"/>
      <c r="D890" s="138"/>
      <c r="E890" s="138"/>
      <c r="F890" s="138"/>
      <c r="J890" s="138"/>
      <c r="K890" s="138"/>
      <c r="L890" s="138"/>
      <c r="M890" s="139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32"/>
      <c r="AE890" s="140"/>
      <c r="AF890" s="140"/>
      <c r="AG890" s="140"/>
      <c r="AH890" s="140"/>
      <c r="AI890" s="140"/>
      <c r="AJ890" s="141"/>
      <c r="AK890" s="140"/>
      <c r="AL890" s="140"/>
      <c r="AM890" s="140"/>
      <c r="AN890" s="140"/>
      <c r="AO890" s="140"/>
      <c r="AP890" s="140"/>
      <c r="AQ890" s="138"/>
      <c r="AR890" s="140"/>
      <c r="AS890" s="140"/>
      <c r="AT890" s="140"/>
      <c r="AU890" s="140"/>
      <c r="AV890" s="138"/>
      <c r="AW890" s="138"/>
      <c r="AX890" s="140"/>
      <c r="AY890" s="140"/>
      <c r="AZ890" s="140"/>
      <c r="BA890" s="140"/>
      <c r="BB890" s="140"/>
      <c r="BC890" s="140"/>
    </row>
    <row r="891" ht="15.75" customHeight="1">
      <c r="C891" s="137"/>
      <c r="D891" s="138"/>
      <c r="E891" s="138"/>
      <c r="F891" s="138"/>
      <c r="J891" s="138"/>
      <c r="K891" s="138"/>
      <c r="L891" s="138"/>
      <c r="M891" s="139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32"/>
      <c r="AE891" s="140"/>
      <c r="AF891" s="140"/>
      <c r="AG891" s="140"/>
      <c r="AH891" s="140"/>
      <c r="AI891" s="140"/>
      <c r="AJ891" s="141"/>
      <c r="AK891" s="140"/>
      <c r="AL891" s="140"/>
      <c r="AM891" s="140"/>
      <c r="AN891" s="140"/>
      <c r="AO891" s="140"/>
      <c r="AP891" s="140"/>
      <c r="AQ891" s="138"/>
      <c r="AR891" s="140"/>
      <c r="AS891" s="140"/>
      <c r="AT891" s="140"/>
      <c r="AU891" s="140"/>
      <c r="AV891" s="138"/>
      <c r="AW891" s="138"/>
      <c r="AX891" s="140"/>
      <c r="AY891" s="140"/>
      <c r="AZ891" s="140"/>
      <c r="BA891" s="140"/>
      <c r="BB891" s="140"/>
      <c r="BC891" s="140"/>
    </row>
    <row r="892" ht="15.75" customHeight="1">
      <c r="C892" s="137"/>
      <c r="D892" s="138"/>
      <c r="E892" s="138"/>
      <c r="F892" s="138"/>
      <c r="J892" s="138"/>
      <c r="K892" s="138"/>
      <c r="L892" s="138"/>
      <c r="M892" s="139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32"/>
      <c r="AE892" s="140"/>
      <c r="AF892" s="140"/>
      <c r="AG892" s="140"/>
      <c r="AH892" s="140"/>
      <c r="AI892" s="140"/>
      <c r="AJ892" s="141"/>
      <c r="AK892" s="140"/>
      <c r="AL892" s="140"/>
      <c r="AM892" s="140"/>
      <c r="AN892" s="140"/>
      <c r="AO892" s="140"/>
      <c r="AP892" s="140"/>
      <c r="AQ892" s="138"/>
      <c r="AR892" s="140"/>
      <c r="AS892" s="140"/>
      <c r="AT892" s="140"/>
      <c r="AU892" s="140"/>
      <c r="AV892" s="138"/>
      <c r="AW892" s="138"/>
      <c r="AX892" s="140"/>
      <c r="AY892" s="140"/>
      <c r="AZ892" s="140"/>
      <c r="BA892" s="140"/>
      <c r="BB892" s="140"/>
      <c r="BC892" s="140"/>
    </row>
    <row r="893" ht="15.75" customHeight="1">
      <c r="C893" s="137"/>
      <c r="D893" s="138"/>
      <c r="E893" s="138"/>
      <c r="F893" s="138"/>
      <c r="J893" s="138"/>
      <c r="K893" s="138"/>
      <c r="L893" s="138"/>
      <c r="M893" s="139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32"/>
      <c r="AE893" s="140"/>
      <c r="AF893" s="140"/>
      <c r="AG893" s="140"/>
      <c r="AH893" s="140"/>
      <c r="AI893" s="140"/>
      <c r="AJ893" s="141"/>
      <c r="AK893" s="140"/>
      <c r="AL893" s="140"/>
      <c r="AM893" s="140"/>
      <c r="AN893" s="140"/>
      <c r="AO893" s="140"/>
      <c r="AP893" s="140"/>
      <c r="AQ893" s="138"/>
      <c r="AR893" s="140"/>
      <c r="AS893" s="140"/>
      <c r="AT893" s="140"/>
      <c r="AU893" s="140"/>
      <c r="AV893" s="138"/>
      <c r="AW893" s="138"/>
      <c r="AX893" s="140"/>
      <c r="AY893" s="140"/>
      <c r="AZ893" s="140"/>
      <c r="BA893" s="140"/>
      <c r="BB893" s="140"/>
      <c r="BC893" s="140"/>
    </row>
    <row r="894" ht="15.75" customHeight="1">
      <c r="C894" s="137"/>
      <c r="D894" s="138"/>
      <c r="E894" s="138"/>
      <c r="F894" s="138"/>
      <c r="J894" s="138"/>
      <c r="K894" s="138"/>
      <c r="L894" s="138"/>
      <c r="M894" s="139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32"/>
      <c r="AE894" s="140"/>
      <c r="AF894" s="140"/>
      <c r="AG894" s="140"/>
      <c r="AH894" s="140"/>
      <c r="AI894" s="140"/>
      <c r="AJ894" s="141"/>
      <c r="AK894" s="140"/>
      <c r="AL894" s="140"/>
      <c r="AM894" s="140"/>
      <c r="AN894" s="140"/>
      <c r="AO894" s="140"/>
      <c r="AP894" s="140"/>
      <c r="AQ894" s="138"/>
      <c r="AR894" s="140"/>
      <c r="AS894" s="140"/>
      <c r="AT894" s="140"/>
      <c r="AU894" s="140"/>
      <c r="AV894" s="138"/>
      <c r="AW894" s="138"/>
      <c r="AX894" s="140"/>
      <c r="AY894" s="140"/>
      <c r="AZ894" s="140"/>
      <c r="BA894" s="140"/>
      <c r="BB894" s="140"/>
      <c r="BC894" s="140"/>
    </row>
    <row r="895" ht="15.75" customHeight="1">
      <c r="C895" s="137"/>
      <c r="D895" s="138"/>
      <c r="E895" s="138"/>
      <c r="F895" s="138"/>
      <c r="J895" s="138"/>
      <c r="K895" s="138"/>
      <c r="L895" s="138"/>
      <c r="M895" s="139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32"/>
      <c r="AE895" s="140"/>
      <c r="AF895" s="140"/>
      <c r="AG895" s="140"/>
      <c r="AH895" s="140"/>
      <c r="AI895" s="140"/>
      <c r="AJ895" s="141"/>
      <c r="AK895" s="140"/>
      <c r="AL895" s="140"/>
      <c r="AM895" s="140"/>
      <c r="AN895" s="140"/>
      <c r="AO895" s="140"/>
      <c r="AP895" s="140"/>
      <c r="AQ895" s="138"/>
      <c r="AR895" s="140"/>
      <c r="AS895" s="140"/>
      <c r="AT895" s="140"/>
      <c r="AU895" s="140"/>
      <c r="AV895" s="138"/>
      <c r="AW895" s="138"/>
      <c r="AX895" s="140"/>
      <c r="AY895" s="140"/>
      <c r="AZ895" s="140"/>
      <c r="BA895" s="140"/>
      <c r="BB895" s="140"/>
      <c r="BC895" s="140"/>
    </row>
    <row r="896" ht="15.75" customHeight="1">
      <c r="C896" s="137"/>
      <c r="D896" s="138"/>
      <c r="E896" s="138"/>
      <c r="F896" s="138"/>
      <c r="J896" s="138"/>
      <c r="K896" s="138"/>
      <c r="L896" s="138"/>
      <c r="M896" s="139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32"/>
      <c r="AE896" s="140"/>
      <c r="AF896" s="140"/>
      <c r="AG896" s="140"/>
      <c r="AH896" s="140"/>
      <c r="AI896" s="140"/>
      <c r="AJ896" s="141"/>
      <c r="AK896" s="140"/>
      <c r="AL896" s="140"/>
      <c r="AM896" s="140"/>
      <c r="AN896" s="140"/>
      <c r="AO896" s="140"/>
      <c r="AP896" s="140"/>
      <c r="AQ896" s="138"/>
      <c r="AR896" s="140"/>
      <c r="AS896" s="140"/>
      <c r="AT896" s="140"/>
      <c r="AU896" s="140"/>
      <c r="AV896" s="138"/>
      <c r="AW896" s="138"/>
      <c r="AX896" s="140"/>
      <c r="AY896" s="140"/>
      <c r="AZ896" s="140"/>
      <c r="BA896" s="140"/>
      <c r="BB896" s="140"/>
      <c r="BC896" s="140"/>
    </row>
    <row r="897" ht="15.75" customHeight="1">
      <c r="C897" s="137"/>
      <c r="D897" s="138"/>
      <c r="E897" s="138"/>
      <c r="F897" s="138"/>
      <c r="J897" s="138"/>
      <c r="K897" s="138"/>
      <c r="L897" s="138"/>
      <c r="M897" s="139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32"/>
      <c r="AE897" s="140"/>
      <c r="AF897" s="140"/>
      <c r="AG897" s="140"/>
      <c r="AH897" s="140"/>
      <c r="AI897" s="140"/>
      <c r="AJ897" s="141"/>
      <c r="AK897" s="140"/>
      <c r="AL897" s="140"/>
      <c r="AM897" s="140"/>
      <c r="AN897" s="140"/>
      <c r="AO897" s="140"/>
      <c r="AP897" s="140"/>
      <c r="AQ897" s="138"/>
      <c r="AR897" s="140"/>
      <c r="AS897" s="140"/>
      <c r="AT897" s="140"/>
      <c r="AU897" s="140"/>
      <c r="AV897" s="138"/>
      <c r="AW897" s="138"/>
      <c r="AX897" s="140"/>
      <c r="AY897" s="140"/>
      <c r="AZ897" s="140"/>
      <c r="BA897" s="140"/>
      <c r="BB897" s="140"/>
      <c r="BC897" s="140"/>
    </row>
    <row r="898" ht="15.75" customHeight="1">
      <c r="C898" s="137"/>
      <c r="D898" s="138"/>
      <c r="E898" s="138"/>
      <c r="F898" s="138"/>
      <c r="J898" s="138"/>
      <c r="K898" s="138"/>
      <c r="L898" s="138"/>
      <c r="M898" s="139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32"/>
      <c r="AE898" s="140"/>
      <c r="AF898" s="140"/>
      <c r="AG898" s="140"/>
      <c r="AH898" s="140"/>
      <c r="AI898" s="140"/>
      <c r="AJ898" s="141"/>
      <c r="AK898" s="140"/>
      <c r="AL898" s="140"/>
      <c r="AM898" s="140"/>
      <c r="AN898" s="140"/>
      <c r="AO898" s="140"/>
      <c r="AP898" s="140"/>
      <c r="AQ898" s="138"/>
      <c r="AR898" s="140"/>
      <c r="AS898" s="140"/>
      <c r="AT898" s="140"/>
      <c r="AU898" s="140"/>
      <c r="AV898" s="138"/>
      <c r="AW898" s="138"/>
      <c r="AX898" s="140"/>
      <c r="AY898" s="140"/>
      <c r="AZ898" s="140"/>
      <c r="BA898" s="140"/>
      <c r="BB898" s="140"/>
      <c r="BC898" s="140"/>
    </row>
    <row r="899" ht="15.75" customHeight="1">
      <c r="C899" s="137"/>
      <c r="D899" s="138"/>
      <c r="E899" s="138"/>
      <c r="F899" s="138"/>
      <c r="J899" s="138"/>
      <c r="K899" s="138"/>
      <c r="L899" s="138"/>
      <c r="M899" s="139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32"/>
      <c r="AE899" s="140"/>
      <c r="AF899" s="140"/>
      <c r="AG899" s="140"/>
      <c r="AH899" s="140"/>
      <c r="AI899" s="140"/>
      <c r="AJ899" s="141"/>
      <c r="AK899" s="140"/>
      <c r="AL899" s="140"/>
      <c r="AM899" s="140"/>
      <c r="AN899" s="140"/>
      <c r="AO899" s="140"/>
      <c r="AP899" s="140"/>
      <c r="AQ899" s="138"/>
      <c r="AR899" s="140"/>
      <c r="AS899" s="140"/>
      <c r="AT899" s="140"/>
      <c r="AU899" s="140"/>
      <c r="AV899" s="138"/>
      <c r="AW899" s="138"/>
      <c r="AX899" s="140"/>
      <c r="AY899" s="140"/>
      <c r="AZ899" s="140"/>
      <c r="BA899" s="140"/>
      <c r="BB899" s="140"/>
      <c r="BC899" s="140"/>
    </row>
    <row r="900" ht="15.75" customHeight="1">
      <c r="C900" s="137"/>
      <c r="D900" s="138"/>
      <c r="E900" s="138"/>
      <c r="F900" s="138"/>
      <c r="J900" s="138"/>
      <c r="K900" s="138"/>
      <c r="L900" s="138"/>
      <c r="M900" s="139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32"/>
      <c r="AE900" s="140"/>
      <c r="AF900" s="140"/>
      <c r="AG900" s="140"/>
      <c r="AH900" s="140"/>
      <c r="AI900" s="140"/>
      <c r="AJ900" s="141"/>
      <c r="AK900" s="140"/>
      <c r="AL900" s="140"/>
      <c r="AM900" s="140"/>
      <c r="AN900" s="140"/>
      <c r="AO900" s="140"/>
      <c r="AP900" s="140"/>
      <c r="AQ900" s="138"/>
      <c r="AR900" s="140"/>
      <c r="AS900" s="140"/>
      <c r="AT900" s="140"/>
      <c r="AU900" s="140"/>
      <c r="AV900" s="138"/>
      <c r="AW900" s="138"/>
      <c r="AX900" s="140"/>
      <c r="AY900" s="140"/>
      <c r="AZ900" s="140"/>
      <c r="BA900" s="140"/>
      <c r="BB900" s="140"/>
      <c r="BC900" s="140"/>
    </row>
    <row r="901" ht="15.75" customHeight="1">
      <c r="C901" s="137"/>
      <c r="D901" s="138"/>
      <c r="E901" s="138"/>
      <c r="F901" s="138"/>
      <c r="J901" s="138"/>
      <c r="K901" s="138"/>
      <c r="L901" s="138"/>
      <c r="M901" s="139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32"/>
      <c r="AE901" s="140"/>
      <c r="AF901" s="140"/>
      <c r="AG901" s="140"/>
      <c r="AH901" s="140"/>
      <c r="AI901" s="140"/>
      <c r="AJ901" s="141"/>
      <c r="AK901" s="140"/>
      <c r="AL901" s="140"/>
      <c r="AM901" s="140"/>
      <c r="AN901" s="140"/>
      <c r="AO901" s="140"/>
      <c r="AP901" s="140"/>
      <c r="AQ901" s="138"/>
      <c r="AR901" s="140"/>
      <c r="AS901" s="140"/>
      <c r="AT901" s="140"/>
      <c r="AU901" s="140"/>
      <c r="AV901" s="138"/>
      <c r="AW901" s="138"/>
      <c r="AX901" s="140"/>
      <c r="AY901" s="140"/>
      <c r="AZ901" s="140"/>
      <c r="BA901" s="140"/>
      <c r="BB901" s="140"/>
      <c r="BC901" s="140"/>
    </row>
    <row r="902" ht="15.75" customHeight="1">
      <c r="C902" s="137"/>
      <c r="D902" s="138"/>
      <c r="E902" s="138"/>
      <c r="F902" s="138"/>
      <c r="J902" s="138"/>
      <c r="K902" s="138"/>
      <c r="L902" s="138"/>
      <c r="M902" s="139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32"/>
      <c r="AE902" s="140"/>
      <c r="AF902" s="140"/>
      <c r="AG902" s="140"/>
      <c r="AH902" s="140"/>
      <c r="AI902" s="140"/>
      <c r="AJ902" s="141"/>
      <c r="AK902" s="140"/>
      <c r="AL902" s="140"/>
      <c r="AM902" s="140"/>
      <c r="AN902" s="140"/>
      <c r="AO902" s="140"/>
      <c r="AP902" s="140"/>
      <c r="AQ902" s="138"/>
      <c r="AR902" s="140"/>
      <c r="AS902" s="140"/>
      <c r="AT902" s="140"/>
      <c r="AU902" s="140"/>
      <c r="AV902" s="138"/>
      <c r="AW902" s="138"/>
      <c r="AX902" s="140"/>
      <c r="AY902" s="140"/>
      <c r="AZ902" s="140"/>
      <c r="BA902" s="140"/>
      <c r="BB902" s="140"/>
      <c r="BC902" s="140"/>
    </row>
    <row r="903" ht="15.75" customHeight="1">
      <c r="C903" s="137"/>
      <c r="D903" s="138"/>
      <c r="E903" s="138"/>
      <c r="F903" s="138"/>
      <c r="J903" s="138"/>
      <c r="K903" s="138"/>
      <c r="L903" s="138"/>
      <c r="M903" s="139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32"/>
      <c r="AE903" s="140"/>
      <c r="AF903" s="140"/>
      <c r="AG903" s="140"/>
      <c r="AH903" s="140"/>
      <c r="AI903" s="140"/>
      <c r="AJ903" s="141"/>
      <c r="AK903" s="140"/>
      <c r="AL903" s="140"/>
      <c r="AM903" s="140"/>
      <c r="AN903" s="140"/>
      <c r="AO903" s="140"/>
      <c r="AP903" s="140"/>
      <c r="AQ903" s="138"/>
      <c r="AR903" s="140"/>
      <c r="AS903" s="140"/>
      <c r="AT903" s="140"/>
      <c r="AU903" s="140"/>
      <c r="AV903" s="138"/>
      <c r="AW903" s="138"/>
      <c r="AX903" s="140"/>
      <c r="AY903" s="140"/>
      <c r="AZ903" s="140"/>
      <c r="BA903" s="140"/>
      <c r="BB903" s="140"/>
      <c r="BC903" s="140"/>
    </row>
    <row r="904" ht="15.75" customHeight="1">
      <c r="C904" s="137"/>
      <c r="D904" s="138"/>
      <c r="E904" s="138"/>
      <c r="F904" s="138"/>
      <c r="J904" s="138"/>
      <c r="K904" s="138"/>
      <c r="L904" s="138"/>
      <c r="M904" s="139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32"/>
      <c r="AE904" s="140"/>
      <c r="AF904" s="140"/>
      <c r="AG904" s="140"/>
      <c r="AH904" s="140"/>
      <c r="AI904" s="140"/>
      <c r="AJ904" s="141"/>
      <c r="AK904" s="140"/>
      <c r="AL904" s="140"/>
      <c r="AM904" s="140"/>
      <c r="AN904" s="140"/>
      <c r="AO904" s="140"/>
      <c r="AP904" s="140"/>
      <c r="AQ904" s="138"/>
      <c r="AR904" s="140"/>
      <c r="AS904" s="140"/>
      <c r="AT904" s="140"/>
      <c r="AU904" s="140"/>
      <c r="AV904" s="138"/>
      <c r="AW904" s="138"/>
      <c r="AX904" s="140"/>
      <c r="AY904" s="140"/>
      <c r="AZ904" s="140"/>
      <c r="BA904" s="140"/>
      <c r="BB904" s="140"/>
      <c r="BC904" s="140"/>
    </row>
    <row r="905" ht="15.75" customHeight="1">
      <c r="C905" s="137"/>
      <c r="D905" s="138"/>
      <c r="E905" s="138"/>
      <c r="F905" s="138"/>
      <c r="J905" s="138"/>
      <c r="K905" s="138"/>
      <c r="L905" s="138"/>
      <c r="M905" s="139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32"/>
      <c r="AE905" s="140"/>
      <c r="AF905" s="140"/>
      <c r="AG905" s="140"/>
      <c r="AH905" s="140"/>
      <c r="AI905" s="140"/>
      <c r="AJ905" s="141"/>
      <c r="AK905" s="140"/>
      <c r="AL905" s="140"/>
      <c r="AM905" s="140"/>
      <c r="AN905" s="140"/>
      <c r="AO905" s="140"/>
      <c r="AP905" s="140"/>
      <c r="AQ905" s="138"/>
      <c r="AR905" s="140"/>
      <c r="AS905" s="140"/>
      <c r="AT905" s="140"/>
      <c r="AU905" s="140"/>
      <c r="AV905" s="138"/>
      <c r="AW905" s="138"/>
      <c r="AX905" s="140"/>
      <c r="AY905" s="140"/>
      <c r="AZ905" s="140"/>
      <c r="BA905" s="140"/>
      <c r="BB905" s="140"/>
      <c r="BC905" s="140"/>
    </row>
    <row r="906" ht="15.75" customHeight="1">
      <c r="C906" s="137"/>
      <c r="D906" s="138"/>
      <c r="E906" s="138"/>
      <c r="F906" s="138"/>
      <c r="J906" s="138"/>
      <c r="K906" s="138"/>
      <c r="L906" s="138"/>
      <c r="M906" s="139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32"/>
      <c r="AE906" s="140"/>
      <c r="AF906" s="140"/>
      <c r="AG906" s="140"/>
      <c r="AH906" s="140"/>
      <c r="AI906" s="140"/>
      <c r="AJ906" s="141"/>
      <c r="AK906" s="140"/>
      <c r="AL906" s="140"/>
      <c r="AM906" s="140"/>
      <c r="AN906" s="140"/>
      <c r="AO906" s="140"/>
      <c r="AP906" s="140"/>
      <c r="AQ906" s="138"/>
      <c r="AR906" s="140"/>
      <c r="AS906" s="140"/>
      <c r="AT906" s="140"/>
      <c r="AU906" s="140"/>
      <c r="AV906" s="138"/>
      <c r="AW906" s="138"/>
      <c r="AX906" s="140"/>
      <c r="AY906" s="140"/>
      <c r="AZ906" s="140"/>
      <c r="BA906" s="140"/>
      <c r="BB906" s="140"/>
      <c r="BC906" s="140"/>
    </row>
    <row r="907" ht="15.75" customHeight="1">
      <c r="C907" s="137"/>
      <c r="D907" s="138"/>
      <c r="E907" s="138"/>
      <c r="F907" s="138"/>
      <c r="J907" s="138"/>
      <c r="K907" s="138"/>
      <c r="L907" s="138"/>
      <c r="M907" s="139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32"/>
      <c r="AE907" s="140"/>
      <c r="AF907" s="140"/>
      <c r="AG907" s="140"/>
      <c r="AH907" s="140"/>
      <c r="AI907" s="140"/>
      <c r="AJ907" s="141"/>
      <c r="AK907" s="140"/>
      <c r="AL907" s="140"/>
      <c r="AM907" s="140"/>
      <c r="AN907" s="140"/>
      <c r="AO907" s="140"/>
      <c r="AP907" s="140"/>
      <c r="AQ907" s="138"/>
      <c r="AR907" s="140"/>
      <c r="AS907" s="140"/>
      <c r="AT907" s="140"/>
      <c r="AU907" s="140"/>
      <c r="AV907" s="138"/>
      <c r="AW907" s="138"/>
      <c r="AX907" s="140"/>
      <c r="AY907" s="140"/>
      <c r="AZ907" s="140"/>
      <c r="BA907" s="140"/>
      <c r="BB907" s="140"/>
      <c r="BC907" s="140"/>
    </row>
    <row r="908" ht="15.75" customHeight="1">
      <c r="C908" s="137"/>
      <c r="D908" s="138"/>
      <c r="E908" s="138"/>
      <c r="F908" s="138"/>
      <c r="J908" s="138"/>
      <c r="K908" s="138"/>
      <c r="L908" s="138"/>
      <c r="M908" s="139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32"/>
      <c r="AE908" s="140"/>
      <c r="AF908" s="140"/>
      <c r="AG908" s="140"/>
      <c r="AH908" s="140"/>
      <c r="AI908" s="140"/>
      <c r="AJ908" s="141"/>
      <c r="AK908" s="140"/>
      <c r="AL908" s="140"/>
      <c r="AM908" s="140"/>
      <c r="AN908" s="140"/>
      <c r="AO908" s="140"/>
      <c r="AP908" s="140"/>
      <c r="AQ908" s="138"/>
      <c r="AR908" s="140"/>
      <c r="AS908" s="140"/>
      <c r="AT908" s="140"/>
      <c r="AU908" s="140"/>
      <c r="AV908" s="138"/>
      <c r="AW908" s="138"/>
      <c r="AX908" s="140"/>
      <c r="AY908" s="140"/>
      <c r="AZ908" s="140"/>
      <c r="BA908" s="140"/>
      <c r="BB908" s="140"/>
      <c r="BC908" s="140"/>
    </row>
    <row r="909" ht="15.75" customHeight="1">
      <c r="C909" s="137"/>
      <c r="D909" s="138"/>
      <c r="E909" s="138"/>
      <c r="F909" s="138"/>
      <c r="J909" s="138"/>
      <c r="K909" s="138"/>
      <c r="L909" s="138"/>
      <c r="M909" s="139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32"/>
      <c r="AE909" s="140"/>
      <c r="AF909" s="140"/>
      <c r="AG909" s="140"/>
      <c r="AH909" s="140"/>
      <c r="AI909" s="140"/>
      <c r="AJ909" s="141"/>
      <c r="AK909" s="140"/>
      <c r="AL909" s="140"/>
      <c r="AM909" s="140"/>
      <c r="AN909" s="140"/>
      <c r="AO909" s="140"/>
      <c r="AP909" s="140"/>
      <c r="AQ909" s="138"/>
      <c r="AR909" s="140"/>
      <c r="AS909" s="140"/>
      <c r="AT909" s="140"/>
      <c r="AU909" s="140"/>
      <c r="AV909" s="138"/>
      <c r="AW909" s="138"/>
      <c r="AX909" s="140"/>
      <c r="AY909" s="140"/>
      <c r="AZ909" s="140"/>
      <c r="BA909" s="140"/>
      <c r="BB909" s="140"/>
      <c r="BC909" s="140"/>
    </row>
    <row r="910" ht="15.75" customHeight="1">
      <c r="C910" s="137"/>
      <c r="D910" s="138"/>
      <c r="E910" s="138"/>
      <c r="F910" s="138"/>
      <c r="J910" s="138"/>
      <c r="K910" s="138"/>
      <c r="L910" s="138"/>
      <c r="M910" s="139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32"/>
      <c r="AE910" s="140"/>
      <c r="AF910" s="140"/>
      <c r="AG910" s="140"/>
      <c r="AH910" s="140"/>
      <c r="AI910" s="140"/>
      <c r="AJ910" s="141"/>
      <c r="AK910" s="140"/>
      <c r="AL910" s="140"/>
      <c r="AM910" s="140"/>
      <c r="AN910" s="140"/>
      <c r="AO910" s="140"/>
      <c r="AP910" s="140"/>
      <c r="AQ910" s="138"/>
      <c r="AR910" s="140"/>
      <c r="AS910" s="140"/>
      <c r="AT910" s="140"/>
      <c r="AU910" s="140"/>
      <c r="AV910" s="138"/>
      <c r="AW910" s="138"/>
      <c r="AX910" s="140"/>
      <c r="AY910" s="140"/>
      <c r="AZ910" s="140"/>
      <c r="BA910" s="140"/>
      <c r="BB910" s="140"/>
      <c r="BC910" s="140"/>
    </row>
    <row r="911" ht="15.75" customHeight="1">
      <c r="C911" s="137"/>
      <c r="D911" s="138"/>
      <c r="E911" s="138"/>
      <c r="F911" s="138"/>
      <c r="J911" s="138"/>
      <c r="K911" s="138"/>
      <c r="L911" s="138"/>
      <c r="M911" s="139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32"/>
      <c r="AE911" s="140"/>
      <c r="AF911" s="140"/>
      <c r="AG911" s="140"/>
      <c r="AH911" s="140"/>
      <c r="AI911" s="140"/>
      <c r="AJ911" s="141"/>
      <c r="AK911" s="140"/>
      <c r="AL911" s="140"/>
      <c r="AM911" s="140"/>
      <c r="AN911" s="140"/>
      <c r="AO911" s="140"/>
      <c r="AP911" s="140"/>
      <c r="AQ911" s="138"/>
      <c r="AR911" s="140"/>
      <c r="AS911" s="140"/>
      <c r="AT911" s="140"/>
      <c r="AU911" s="140"/>
      <c r="AV911" s="138"/>
      <c r="AW911" s="138"/>
      <c r="AX911" s="140"/>
      <c r="AY911" s="140"/>
      <c r="AZ911" s="140"/>
      <c r="BA911" s="140"/>
      <c r="BB911" s="140"/>
      <c r="BC911" s="140"/>
    </row>
    <row r="912" ht="15.75" customHeight="1">
      <c r="C912" s="137"/>
      <c r="D912" s="138"/>
      <c r="E912" s="138"/>
      <c r="F912" s="138"/>
      <c r="J912" s="138"/>
      <c r="K912" s="138"/>
      <c r="L912" s="138"/>
      <c r="M912" s="139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32"/>
      <c r="AE912" s="140"/>
      <c r="AF912" s="140"/>
      <c r="AG912" s="140"/>
      <c r="AH912" s="140"/>
      <c r="AI912" s="140"/>
      <c r="AJ912" s="141"/>
      <c r="AK912" s="140"/>
      <c r="AL912" s="140"/>
      <c r="AM912" s="140"/>
      <c r="AN912" s="140"/>
      <c r="AO912" s="140"/>
      <c r="AP912" s="140"/>
      <c r="AQ912" s="138"/>
      <c r="AR912" s="140"/>
      <c r="AS912" s="140"/>
      <c r="AT912" s="140"/>
      <c r="AU912" s="140"/>
      <c r="AV912" s="138"/>
      <c r="AW912" s="138"/>
      <c r="AX912" s="140"/>
      <c r="AY912" s="140"/>
      <c r="AZ912" s="140"/>
      <c r="BA912" s="140"/>
      <c r="BB912" s="140"/>
      <c r="BC912" s="140"/>
    </row>
    <row r="913" ht="15.75" customHeight="1">
      <c r="C913" s="137"/>
      <c r="D913" s="138"/>
      <c r="E913" s="138"/>
      <c r="F913" s="138"/>
      <c r="J913" s="138"/>
      <c r="K913" s="138"/>
      <c r="L913" s="138"/>
      <c r="M913" s="139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32"/>
      <c r="AE913" s="140"/>
      <c r="AF913" s="140"/>
      <c r="AG913" s="140"/>
      <c r="AH913" s="140"/>
      <c r="AI913" s="140"/>
      <c r="AJ913" s="141"/>
      <c r="AK913" s="140"/>
      <c r="AL913" s="140"/>
      <c r="AM913" s="140"/>
      <c r="AN913" s="140"/>
      <c r="AO913" s="140"/>
      <c r="AP913" s="140"/>
      <c r="AQ913" s="138"/>
      <c r="AR913" s="140"/>
      <c r="AS913" s="140"/>
      <c r="AT913" s="140"/>
      <c r="AU913" s="140"/>
      <c r="AV913" s="138"/>
      <c r="AW913" s="138"/>
      <c r="AX913" s="140"/>
      <c r="AY913" s="140"/>
      <c r="AZ913" s="140"/>
      <c r="BA913" s="140"/>
      <c r="BB913" s="140"/>
      <c r="BC913" s="140"/>
    </row>
    <row r="914" ht="15.75" customHeight="1">
      <c r="C914" s="137"/>
      <c r="D914" s="138"/>
      <c r="E914" s="138"/>
      <c r="F914" s="138"/>
      <c r="J914" s="138"/>
      <c r="K914" s="138"/>
      <c r="L914" s="138"/>
      <c r="M914" s="139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32"/>
      <c r="AE914" s="140"/>
      <c r="AF914" s="140"/>
      <c r="AG914" s="140"/>
      <c r="AH914" s="140"/>
      <c r="AI914" s="140"/>
      <c r="AJ914" s="141"/>
      <c r="AK914" s="140"/>
      <c r="AL914" s="140"/>
      <c r="AM914" s="140"/>
      <c r="AN914" s="140"/>
      <c r="AO914" s="140"/>
      <c r="AP914" s="140"/>
      <c r="AQ914" s="138"/>
      <c r="AR914" s="140"/>
      <c r="AS914" s="140"/>
      <c r="AT914" s="140"/>
      <c r="AU914" s="140"/>
      <c r="AV914" s="138"/>
      <c r="AW914" s="138"/>
      <c r="AX914" s="140"/>
      <c r="AY914" s="140"/>
      <c r="AZ914" s="140"/>
      <c r="BA914" s="140"/>
      <c r="BB914" s="140"/>
      <c r="BC914" s="140"/>
    </row>
    <row r="915" ht="15.75" customHeight="1">
      <c r="C915" s="137"/>
      <c r="D915" s="138"/>
      <c r="E915" s="138"/>
      <c r="F915" s="138"/>
      <c r="J915" s="138"/>
      <c r="K915" s="138"/>
      <c r="L915" s="138"/>
      <c r="M915" s="139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32"/>
      <c r="AE915" s="140"/>
      <c r="AF915" s="140"/>
      <c r="AG915" s="140"/>
      <c r="AH915" s="140"/>
      <c r="AI915" s="140"/>
      <c r="AJ915" s="141"/>
      <c r="AK915" s="140"/>
      <c r="AL915" s="140"/>
      <c r="AM915" s="140"/>
      <c r="AN915" s="140"/>
      <c r="AO915" s="140"/>
      <c r="AP915" s="140"/>
      <c r="AQ915" s="138"/>
      <c r="AR915" s="140"/>
      <c r="AS915" s="140"/>
      <c r="AT915" s="140"/>
      <c r="AU915" s="140"/>
      <c r="AV915" s="138"/>
      <c r="AW915" s="138"/>
      <c r="AX915" s="140"/>
      <c r="AY915" s="140"/>
      <c r="AZ915" s="140"/>
      <c r="BA915" s="140"/>
      <c r="BB915" s="140"/>
      <c r="BC915" s="140"/>
    </row>
    <row r="916" ht="15.75" customHeight="1">
      <c r="C916" s="137"/>
      <c r="D916" s="138"/>
      <c r="E916" s="138"/>
      <c r="F916" s="138"/>
      <c r="J916" s="138"/>
      <c r="K916" s="138"/>
      <c r="L916" s="138"/>
      <c r="M916" s="139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32"/>
      <c r="AE916" s="140"/>
      <c r="AF916" s="140"/>
      <c r="AG916" s="140"/>
      <c r="AH916" s="140"/>
      <c r="AI916" s="140"/>
      <c r="AJ916" s="141"/>
      <c r="AK916" s="140"/>
      <c r="AL916" s="140"/>
      <c r="AM916" s="140"/>
      <c r="AN916" s="140"/>
      <c r="AO916" s="140"/>
      <c r="AP916" s="140"/>
      <c r="AQ916" s="138"/>
      <c r="AR916" s="140"/>
      <c r="AS916" s="140"/>
      <c r="AT916" s="140"/>
      <c r="AU916" s="140"/>
      <c r="AV916" s="138"/>
      <c r="AW916" s="138"/>
      <c r="AX916" s="140"/>
      <c r="AY916" s="140"/>
      <c r="AZ916" s="140"/>
      <c r="BA916" s="140"/>
      <c r="BB916" s="140"/>
      <c r="BC916" s="140"/>
    </row>
    <row r="917" ht="15.75" customHeight="1">
      <c r="C917" s="137"/>
      <c r="D917" s="138"/>
      <c r="E917" s="138"/>
      <c r="F917" s="138"/>
      <c r="J917" s="138"/>
      <c r="K917" s="138"/>
      <c r="L917" s="138"/>
      <c r="M917" s="139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32"/>
      <c r="AE917" s="140"/>
      <c r="AF917" s="140"/>
      <c r="AG917" s="140"/>
      <c r="AH917" s="140"/>
      <c r="AI917" s="140"/>
      <c r="AJ917" s="141"/>
      <c r="AK917" s="140"/>
      <c r="AL917" s="140"/>
      <c r="AM917" s="140"/>
      <c r="AN917" s="140"/>
      <c r="AO917" s="140"/>
      <c r="AP917" s="140"/>
      <c r="AQ917" s="138"/>
      <c r="AR917" s="140"/>
      <c r="AS917" s="140"/>
      <c r="AT917" s="140"/>
      <c r="AU917" s="140"/>
      <c r="AV917" s="138"/>
      <c r="AW917" s="138"/>
      <c r="AX917" s="140"/>
      <c r="AY917" s="140"/>
      <c r="AZ917" s="140"/>
      <c r="BA917" s="140"/>
      <c r="BB917" s="140"/>
      <c r="BC917" s="140"/>
    </row>
    <row r="918" ht="15.75" customHeight="1">
      <c r="C918" s="137"/>
      <c r="D918" s="138"/>
      <c r="E918" s="138"/>
      <c r="F918" s="138"/>
      <c r="J918" s="138"/>
      <c r="K918" s="138"/>
      <c r="L918" s="138"/>
      <c r="M918" s="139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32"/>
      <c r="AE918" s="140"/>
      <c r="AF918" s="140"/>
      <c r="AG918" s="140"/>
      <c r="AH918" s="140"/>
      <c r="AI918" s="140"/>
      <c r="AJ918" s="141"/>
      <c r="AK918" s="140"/>
      <c r="AL918" s="140"/>
      <c r="AM918" s="140"/>
      <c r="AN918" s="140"/>
      <c r="AO918" s="140"/>
      <c r="AP918" s="140"/>
      <c r="AQ918" s="138"/>
      <c r="AR918" s="140"/>
      <c r="AS918" s="140"/>
      <c r="AT918" s="140"/>
      <c r="AU918" s="140"/>
      <c r="AV918" s="138"/>
      <c r="AW918" s="138"/>
      <c r="AX918" s="140"/>
      <c r="AY918" s="140"/>
      <c r="AZ918" s="140"/>
      <c r="BA918" s="140"/>
      <c r="BB918" s="140"/>
      <c r="BC918" s="140"/>
    </row>
    <row r="919" ht="15.75" customHeight="1">
      <c r="C919" s="137"/>
      <c r="D919" s="138"/>
      <c r="E919" s="138"/>
      <c r="F919" s="138"/>
      <c r="J919" s="138"/>
      <c r="K919" s="138"/>
      <c r="L919" s="138"/>
      <c r="M919" s="139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32"/>
      <c r="AE919" s="140"/>
      <c r="AF919" s="140"/>
      <c r="AG919" s="140"/>
      <c r="AH919" s="140"/>
      <c r="AI919" s="140"/>
      <c r="AJ919" s="141"/>
      <c r="AK919" s="140"/>
      <c r="AL919" s="140"/>
      <c r="AM919" s="140"/>
      <c r="AN919" s="140"/>
      <c r="AO919" s="140"/>
      <c r="AP919" s="140"/>
      <c r="AQ919" s="138"/>
      <c r="AR919" s="140"/>
      <c r="AS919" s="140"/>
      <c r="AT919" s="140"/>
      <c r="AU919" s="140"/>
      <c r="AV919" s="138"/>
      <c r="AW919" s="138"/>
      <c r="AX919" s="140"/>
      <c r="AY919" s="140"/>
      <c r="AZ919" s="140"/>
      <c r="BA919" s="140"/>
      <c r="BB919" s="140"/>
      <c r="BC919" s="140"/>
    </row>
    <row r="920" ht="15.75" customHeight="1">
      <c r="C920" s="137"/>
      <c r="D920" s="138"/>
      <c r="E920" s="138"/>
      <c r="F920" s="138"/>
      <c r="J920" s="138"/>
      <c r="K920" s="138"/>
      <c r="L920" s="138"/>
      <c r="M920" s="139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32"/>
      <c r="AE920" s="140"/>
      <c r="AF920" s="140"/>
      <c r="AG920" s="140"/>
      <c r="AH920" s="140"/>
      <c r="AI920" s="140"/>
      <c r="AJ920" s="141"/>
      <c r="AK920" s="140"/>
      <c r="AL920" s="140"/>
      <c r="AM920" s="140"/>
      <c r="AN920" s="140"/>
      <c r="AO920" s="140"/>
      <c r="AP920" s="140"/>
      <c r="AQ920" s="138"/>
      <c r="AR920" s="140"/>
      <c r="AS920" s="140"/>
      <c r="AT920" s="140"/>
      <c r="AU920" s="140"/>
      <c r="AV920" s="138"/>
      <c r="AW920" s="138"/>
      <c r="AX920" s="140"/>
      <c r="AY920" s="140"/>
      <c r="AZ920" s="140"/>
      <c r="BA920" s="140"/>
      <c r="BB920" s="140"/>
      <c r="BC920" s="140"/>
    </row>
    <row r="921" ht="15.75" customHeight="1">
      <c r="C921" s="137"/>
      <c r="D921" s="138"/>
      <c r="E921" s="138"/>
      <c r="F921" s="138"/>
      <c r="J921" s="138"/>
      <c r="K921" s="138"/>
      <c r="L921" s="138"/>
      <c r="M921" s="139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32"/>
      <c r="AE921" s="140"/>
      <c r="AF921" s="140"/>
      <c r="AG921" s="140"/>
      <c r="AH921" s="140"/>
      <c r="AI921" s="140"/>
      <c r="AJ921" s="141"/>
      <c r="AK921" s="140"/>
      <c r="AL921" s="140"/>
      <c r="AM921" s="140"/>
      <c r="AN921" s="140"/>
      <c r="AO921" s="140"/>
      <c r="AP921" s="140"/>
      <c r="AQ921" s="138"/>
      <c r="AR921" s="140"/>
      <c r="AS921" s="140"/>
      <c r="AT921" s="140"/>
      <c r="AU921" s="140"/>
      <c r="AV921" s="138"/>
      <c r="AW921" s="138"/>
      <c r="AX921" s="140"/>
      <c r="AY921" s="140"/>
      <c r="AZ921" s="140"/>
      <c r="BA921" s="140"/>
      <c r="BB921" s="140"/>
      <c r="BC921" s="140"/>
    </row>
    <row r="922" ht="15.75" customHeight="1">
      <c r="C922" s="137"/>
      <c r="D922" s="138"/>
      <c r="E922" s="138"/>
      <c r="F922" s="138"/>
      <c r="J922" s="138"/>
      <c r="K922" s="138"/>
      <c r="L922" s="138"/>
      <c r="M922" s="139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32"/>
      <c r="AE922" s="140"/>
      <c r="AF922" s="140"/>
      <c r="AG922" s="140"/>
      <c r="AH922" s="140"/>
      <c r="AI922" s="140"/>
      <c r="AJ922" s="141"/>
      <c r="AK922" s="140"/>
      <c r="AL922" s="140"/>
      <c r="AM922" s="140"/>
      <c r="AN922" s="140"/>
      <c r="AO922" s="140"/>
      <c r="AP922" s="140"/>
      <c r="AQ922" s="138"/>
      <c r="AR922" s="140"/>
      <c r="AS922" s="140"/>
      <c r="AT922" s="140"/>
      <c r="AU922" s="140"/>
      <c r="AV922" s="138"/>
      <c r="AW922" s="138"/>
      <c r="AX922" s="140"/>
      <c r="AY922" s="140"/>
      <c r="AZ922" s="140"/>
      <c r="BA922" s="140"/>
      <c r="BB922" s="140"/>
      <c r="BC922" s="140"/>
    </row>
    <row r="923" ht="15.75" customHeight="1">
      <c r="C923" s="137"/>
      <c r="D923" s="138"/>
      <c r="E923" s="138"/>
      <c r="F923" s="138"/>
      <c r="J923" s="138"/>
      <c r="K923" s="138"/>
      <c r="L923" s="138"/>
      <c r="M923" s="139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32"/>
      <c r="AE923" s="140"/>
      <c r="AF923" s="140"/>
      <c r="AG923" s="140"/>
      <c r="AH923" s="140"/>
      <c r="AI923" s="140"/>
      <c r="AJ923" s="141"/>
      <c r="AK923" s="140"/>
      <c r="AL923" s="140"/>
      <c r="AM923" s="140"/>
      <c r="AN923" s="140"/>
      <c r="AO923" s="140"/>
      <c r="AP923" s="140"/>
      <c r="AQ923" s="138"/>
      <c r="AR923" s="140"/>
      <c r="AS923" s="140"/>
      <c r="AT923" s="140"/>
      <c r="AU923" s="140"/>
      <c r="AV923" s="138"/>
      <c r="AW923" s="138"/>
      <c r="AX923" s="140"/>
      <c r="AY923" s="140"/>
      <c r="AZ923" s="140"/>
      <c r="BA923" s="140"/>
      <c r="BB923" s="140"/>
      <c r="BC923" s="140"/>
    </row>
    <row r="924" ht="15.75" customHeight="1">
      <c r="C924" s="137"/>
      <c r="D924" s="138"/>
      <c r="E924" s="138"/>
      <c r="F924" s="138"/>
      <c r="J924" s="138"/>
      <c r="K924" s="138"/>
      <c r="L924" s="138"/>
      <c r="M924" s="139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32"/>
      <c r="AE924" s="140"/>
      <c r="AF924" s="140"/>
      <c r="AG924" s="140"/>
      <c r="AH924" s="140"/>
      <c r="AI924" s="140"/>
      <c r="AJ924" s="141"/>
      <c r="AK924" s="140"/>
      <c r="AL924" s="140"/>
      <c r="AM924" s="140"/>
      <c r="AN924" s="140"/>
      <c r="AO924" s="140"/>
      <c r="AP924" s="140"/>
      <c r="AQ924" s="138"/>
      <c r="AR924" s="140"/>
      <c r="AS924" s="140"/>
      <c r="AT924" s="140"/>
      <c r="AU924" s="140"/>
      <c r="AV924" s="138"/>
      <c r="AW924" s="138"/>
      <c r="AX924" s="140"/>
      <c r="AY924" s="140"/>
      <c r="AZ924" s="140"/>
      <c r="BA924" s="140"/>
      <c r="BB924" s="140"/>
      <c r="BC924" s="140"/>
    </row>
    <row r="925" ht="15.75" customHeight="1">
      <c r="C925" s="137"/>
      <c r="D925" s="138"/>
      <c r="E925" s="138"/>
      <c r="F925" s="138"/>
      <c r="J925" s="138"/>
      <c r="K925" s="138"/>
      <c r="L925" s="138"/>
      <c r="M925" s="139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32"/>
      <c r="AE925" s="140"/>
      <c r="AF925" s="140"/>
      <c r="AG925" s="140"/>
      <c r="AH925" s="140"/>
      <c r="AI925" s="140"/>
      <c r="AJ925" s="141"/>
      <c r="AK925" s="140"/>
      <c r="AL925" s="140"/>
      <c r="AM925" s="140"/>
      <c r="AN925" s="140"/>
      <c r="AO925" s="140"/>
      <c r="AP925" s="140"/>
      <c r="AQ925" s="138"/>
      <c r="AR925" s="140"/>
      <c r="AS925" s="140"/>
      <c r="AT925" s="140"/>
      <c r="AU925" s="140"/>
      <c r="AV925" s="138"/>
      <c r="AW925" s="138"/>
      <c r="AX925" s="140"/>
      <c r="AY925" s="140"/>
      <c r="AZ925" s="140"/>
      <c r="BA925" s="140"/>
      <c r="BB925" s="140"/>
      <c r="BC925" s="140"/>
    </row>
    <row r="926" ht="15.75" customHeight="1">
      <c r="C926" s="137"/>
      <c r="D926" s="138"/>
      <c r="E926" s="138"/>
      <c r="F926" s="138"/>
      <c r="J926" s="138"/>
      <c r="K926" s="138"/>
      <c r="L926" s="138"/>
      <c r="M926" s="139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32"/>
      <c r="AE926" s="140"/>
      <c r="AF926" s="140"/>
      <c r="AG926" s="140"/>
      <c r="AH926" s="140"/>
      <c r="AI926" s="140"/>
      <c r="AJ926" s="141"/>
      <c r="AK926" s="140"/>
      <c r="AL926" s="140"/>
      <c r="AM926" s="140"/>
      <c r="AN926" s="140"/>
      <c r="AO926" s="140"/>
      <c r="AP926" s="140"/>
      <c r="AQ926" s="138"/>
      <c r="AR926" s="140"/>
      <c r="AS926" s="140"/>
      <c r="AT926" s="140"/>
      <c r="AU926" s="140"/>
      <c r="AV926" s="138"/>
      <c r="AW926" s="138"/>
      <c r="AX926" s="140"/>
      <c r="AY926" s="140"/>
      <c r="AZ926" s="140"/>
      <c r="BA926" s="140"/>
      <c r="BB926" s="140"/>
      <c r="BC926" s="140"/>
    </row>
    <row r="927" ht="15.75" customHeight="1">
      <c r="C927" s="137"/>
      <c r="D927" s="138"/>
      <c r="E927" s="138"/>
      <c r="F927" s="138"/>
      <c r="J927" s="138"/>
      <c r="K927" s="138"/>
      <c r="L927" s="138"/>
      <c r="M927" s="139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32"/>
      <c r="AE927" s="140"/>
      <c r="AF927" s="140"/>
      <c r="AG927" s="140"/>
      <c r="AH927" s="140"/>
      <c r="AI927" s="140"/>
      <c r="AJ927" s="141"/>
      <c r="AK927" s="140"/>
      <c r="AL927" s="140"/>
      <c r="AM927" s="140"/>
      <c r="AN927" s="140"/>
      <c r="AO927" s="140"/>
      <c r="AP927" s="140"/>
      <c r="AQ927" s="138"/>
      <c r="AR927" s="140"/>
      <c r="AS927" s="140"/>
      <c r="AT927" s="140"/>
      <c r="AU927" s="140"/>
      <c r="AV927" s="138"/>
      <c r="AW927" s="138"/>
      <c r="AX927" s="140"/>
      <c r="AY927" s="140"/>
      <c r="AZ927" s="140"/>
      <c r="BA927" s="140"/>
      <c r="BB927" s="140"/>
      <c r="BC927" s="140"/>
    </row>
    <row r="928" ht="15.75" customHeight="1">
      <c r="C928" s="137"/>
      <c r="D928" s="138"/>
      <c r="E928" s="138"/>
      <c r="F928" s="138"/>
      <c r="J928" s="138"/>
      <c r="K928" s="138"/>
      <c r="L928" s="138"/>
      <c r="M928" s="139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32"/>
      <c r="AE928" s="140"/>
      <c r="AF928" s="140"/>
      <c r="AG928" s="140"/>
      <c r="AH928" s="140"/>
      <c r="AI928" s="140"/>
      <c r="AJ928" s="141"/>
      <c r="AK928" s="140"/>
      <c r="AL928" s="140"/>
      <c r="AM928" s="140"/>
      <c r="AN928" s="140"/>
      <c r="AO928" s="140"/>
      <c r="AP928" s="140"/>
      <c r="AQ928" s="138"/>
      <c r="AR928" s="140"/>
      <c r="AS928" s="140"/>
      <c r="AT928" s="140"/>
      <c r="AU928" s="140"/>
      <c r="AV928" s="138"/>
      <c r="AW928" s="138"/>
      <c r="AX928" s="140"/>
      <c r="AY928" s="140"/>
      <c r="AZ928" s="140"/>
      <c r="BA928" s="140"/>
      <c r="BB928" s="140"/>
      <c r="BC928" s="140"/>
    </row>
    <row r="929" ht="15.75" customHeight="1">
      <c r="C929" s="137"/>
      <c r="D929" s="138"/>
      <c r="E929" s="138"/>
      <c r="F929" s="138"/>
      <c r="J929" s="138"/>
      <c r="K929" s="138"/>
      <c r="L929" s="138"/>
      <c r="M929" s="139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32"/>
      <c r="AE929" s="140"/>
      <c r="AF929" s="140"/>
      <c r="AG929" s="140"/>
      <c r="AH929" s="140"/>
      <c r="AI929" s="140"/>
      <c r="AJ929" s="141"/>
      <c r="AK929" s="140"/>
      <c r="AL929" s="140"/>
      <c r="AM929" s="140"/>
      <c r="AN929" s="140"/>
      <c r="AO929" s="140"/>
      <c r="AP929" s="140"/>
      <c r="AQ929" s="138"/>
      <c r="AR929" s="140"/>
      <c r="AS929" s="140"/>
      <c r="AT929" s="140"/>
      <c r="AU929" s="140"/>
      <c r="AV929" s="138"/>
      <c r="AW929" s="138"/>
      <c r="AX929" s="140"/>
      <c r="AY929" s="140"/>
      <c r="AZ929" s="140"/>
      <c r="BA929" s="140"/>
      <c r="BB929" s="140"/>
      <c r="BC929" s="140"/>
    </row>
    <row r="930" ht="15.75" customHeight="1">
      <c r="C930" s="137"/>
      <c r="D930" s="138"/>
      <c r="E930" s="138"/>
      <c r="F930" s="138"/>
      <c r="J930" s="138"/>
      <c r="K930" s="138"/>
      <c r="L930" s="138"/>
      <c r="M930" s="139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32"/>
      <c r="AE930" s="140"/>
      <c r="AF930" s="140"/>
      <c r="AG930" s="140"/>
      <c r="AH930" s="140"/>
      <c r="AI930" s="140"/>
      <c r="AJ930" s="141"/>
      <c r="AK930" s="140"/>
      <c r="AL930" s="140"/>
      <c r="AM930" s="140"/>
      <c r="AN930" s="140"/>
      <c r="AO930" s="140"/>
      <c r="AP930" s="140"/>
      <c r="AQ930" s="138"/>
      <c r="AR930" s="140"/>
      <c r="AS930" s="140"/>
      <c r="AT930" s="140"/>
      <c r="AU930" s="140"/>
      <c r="AV930" s="138"/>
      <c r="AW930" s="138"/>
      <c r="AX930" s="140"/>
      <c r="AY930" s="140"/>
      <c r="AZ930" s="140"/>
      <c r="BA930" s="140"/>
      <c r="BB930" s="140"/>
      <c r="BC930" s="140"/>
    </row>
    <row r="931" ht="15.75" customHeight="1">
      <c r="C931" s="137"/>
      <c r="D931" s="138"/>
      <c r="E931" s="138"/>
      <c r="F931" s="138"/>
      <c r="J931" s="138"/>
      <c r="K931" s="138"/>
      <c r="L931" s="138"/>
      <c r="M931" s="139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32"/>
      <c r="AE931" s="140"/>
      <c r="AF931" s="140"/>
      <c r="AG931" s="140"/>
      <c r="AH931" s="140"/>
      <c r="AI931" s="140"/>
      <c r="AJ931" s="141"/>
      <c r="AK931" s="140"/>
      <c r="AL931" s="140"/>
      <c r="AM931" s="140"/>
      <c r="AN931" s="140"/>
      <c r="AO931" s="140"/>
      <c r="AP931" s="140"/>
      <c r="AQ931" s="138"/>
      <c r="AR931" s="140"/>
      <c r="AS931" s="140"/>
      <c r="AT931" s="140"/>
      <c r="AU931" s="140"/>
      <c r="AV931" s="138"/>
      <c r="AW931" s="138"/>
      <c r="AX931" s="140"/>
      <c r="AY931" s="140"/>
      <c r="AZ931" s="140"/>
      <c r="BA931" s="140"/>
      <c r="BB931" s="140"/>
      <c r="BC931" s="140"/>
    </row>
    <row r="932" ht="15.75" customHeight="1">
      <c r="C932" s="137"/>
      <c r="D932" s="138"/>
      <c r="E932" s="138"/>
      <c r="F932" s="138"/>
      <c r="J932" s="138"/>
      <c r="K932" s="138"/>
      <c r="L932" s="138"/>
      <c r="M932" s="139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32"/>
      <c r="AE932" s="140"/>
      <c r="AF932" s="140"/>
      <c r="AG932" s="140"/>
      <c r="AH932" s="140"/>
      <c r="AI932" s="140"/>
      <c r="AJ932" s="141"/>
      <c r="AK932" s="140"/>
      <c r="AL932" s="140"/>
      <c r="AM932" s="140"/>
      <c r="AN932" s="140"/>
      <c r="AO932" s="140"/>
      <c r="AP932" s="140"/>
      <c r="AQ932" s="138"/>
      <c r="AR932" s="140"/>
      <c r="AS932" s="140"/>
      <c r="AT932" s="140"/>
      <c r="AU932" s="140"/>
      <c r="AV932" s="138"/>
      <c r="AW932" s="138"/>
      <c r="AX932" s="140"/>
      <c r="AY932" s="140"/>
      <c r="AZ932" s="140"/>
      <c r="BA932" s="140"/>
      <c r="BB932" s="140"/>
      <c r="BC932" s="140"/>
    </row>
    <row r="933" ht="15.75" customHeight="1">
      <c r="C933" s="137"/>
      <c r="D933" s="138"/>
      <c r="E933" s="138"/>
      <c r="F933" s="138"/>
      <c r="J933" s="138"/>
      <c r="K933" s="138"/>
      <c r="L933" s="138"/>
      <c r="M933" s="139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32"/>
      <c r="AE933" s="140"/>
      <c r="AF933" s="140"/>
      <c r="AG933" s="140"/>
      <c r="AH933" s="140"/>
      <c r="AI933" s="140"/>
      <c r="AJ933" s="141"/>
      <c r="AK933" s="140"/>
      <c r="AL933" s="140"/>
      <c r="AM933" s="140"/>
      <c r="AN933" s="140"/>
      <c r="AO933" s="140"/>
      <c r="AP933" s="140"/>
      <c r="AQ933" s="138"/>
      <c r="AR933" s="140"/>
      <c r="AS933" s="140"/>
      <c r="AT933" s="140"/>
      <c r="AU933" s="140"/>
      <c r="AV933" s="138"/>
      <c r="AW933" s="138"/>
      <c r="AX933" s="140"/>
      <c r="AY933" s="140"/>
      <c r="AZ933" s="140"/>
      <c r="BA933" s="140"/>
      <c r="BB933" s="140"/>
      <c r="BC933" s="140"/>
    </row>
    <row r="934" ht="15.75" customHeight="1">
      <c r="C934" s="137"/>
      <c r="D934" s="138"/>
      <c r="E934" s="138"/>
      <c r="F934" s="138"/>
      <c r="J934" s="138"/>
      <c r="K934" s="138"/>
      <c r="L934" s="138"/>
      <c r="M934" s="139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32"/>
      <c r="AE934" s="140"/>
      <c r="AF934" s="140"/>
      <c r="AG934" s="140"/>
      <c r="AH934" s="140"/>
      <c r="AI934" s="140"/>
      <c r="AJ934" s="141"/>
      <c r="AK934" s="140"/>
      <c r="AL934" s="140"/>
      <c r="AM934" s="140"/>
      <c r="AN934" s="140"/>
      <c r="AO934" s="140"/>
      <c r="AP934" s="140"/>
      <c r="AQ934" s="138"/>
      <c r="AR934" s="140"/>
      <c r="AS934" s="140"/>
      <c r="AT934" s="140"/>
      <c r="AU934" s="140"/>
      <c r="AV934" s="138"/>
      <c r="AW934" s="138"/>
      <c r="AX934" s="140"/>
      <c r="AY934" s="140"/>
      <c r="AZ934" s="140"/>
      <c r="BA934" s="140"/>
      <c r="BB934" s="140"/>
      <c r="BC934" s="140"/>
    </row>
    <row r="935" ht="15.75" customHeight="1">
      <c r="C935" s="137"/>
      <c r="D935" s="138"/>
      <c r="E935" s="138"/>
      <c r="F935" s="138"/>
      <c r="J935" s="138"/>
      <c r="K935" s="138"/>
      <c r="L935" s="138"/>
      <c r="M935" s="139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32"/>
      <c r="AE935" s="140"/>
      <c r="AF935" s="140"/>
      <c r="AG935" s="140"/>
      <c r="AH935" s="140"/>
      <c r="AI935" s="140"/>
      <c r="AJ935" s="141"/>
      <c r="AK935" s="140"/>
      <c r="AL935" s="140"/>
      <c r="AM935" s="140"/>
      <c r="AN935" s="140"/>
      <c r="AO935" s="140"/>
      <c r="AP935" s="140"/>
      <c r="AQ935" s="138"/>
      <c r="AR935" s="140"/>
      <c r="AS935" s="140"/>
      <c r="AT935" s="140"/>
      <c r="AU935" s="140"/>
      <c r="AV935" s="138"/>
      <c r="AW935" s="138"/>
      <c r="AX935" s="140"/>
      <c r="AY935" s="140"/>
      <c r="AZ935" s="140"/>
      <c r="BA935" s="140"/>
      <c r="BB935" s="140"/>
      <c r="BC935" s="140"/>
    </row>
    <row r="936" ht="15.75" customHeight="1">
      <c r="C936" s="137"/>
      <c r="D936" s="138"/>
      <c r="E936" s="138"/>
      <c r="F936" s="138"/>
      <c r="J936" s="138"/>
      <c r="K936" s="138"/>
      <c r="L936" s="138"/>
      <c r="M936" s="139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32"/>
      <c r="AE936" s="140"/>
      <c r="AF936" s="140"/>
      <c r="AG936" s="140"/>
      <c r="AH936" s="140"/>
      <c r="AI936" s="140"/>
      <c r="AJ936" s="141"/>
      <c r="AK936" s="140"/>
      <c r="AL936" s="140"/>
      <c r="AM936" s="140"/>
      <c r="AN936" s="140"/>
      <c r="AO936" s="140"/>
      <c r="AP936" s="140"/>
      <c r="AQ936" s="138"/>
      <c r="AR936" s="140"/>
      <c r="AS936" s="140"/>
      <c r="AT936" s="140"/>
      <c r="AU936" s="140"/>
      <c r="AV936" s="138"/>
      <c r="AW936" s="138"/>
      <c r="AX936" s="140"/>
      <c r="AY936" s="140"/>
      <c r="AZ936" s="140"/>
      <c r="BA936" s="140"/>
      <c r="BB936" s="140"/>
      <c r="BC936" s="140"/>
    </row>
    <row r="937" ht="15.75" customHeight="1">
      <c r="C937" s="137"/>
      <c r="D937" s="138"/>
      <c r="E937" s="138"/>
      <c r="F937" s="138"/>
      <c r="J937" s="138"/>
      <c r="K937" s="138"/>
      <c r="L937" s="138"/>
      <c r="M937" s="139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32"/>
      <c r="AE937" s="140"/>
      <c r="AF937" s="140"/>
      <c r="AG937" s="140"/>
      <c r="AH937" s="140"/>
      <c r="AI937" s="140"/>
      <c r="AJ937" s="141"/>
      <c r="AK937" s="140"/>
      <c r="AL937" s="140"/>
      <c r="AM937" s="140"/>
      <c r="AN937" s="140"/>
      <c r="AO937" s="140"/>
      <c r="AP937" s="140"/>
      <c r="AQ937" s="138"/>
      <c r="AR937" s="140"/>
      <c r="AS937" s="140"/>
      <c r="AT937" s="140"/>
      <c r="AU937" s="140"/>
      <c r="AV937" s="138"/>
      <c r="AW937" s="138"/>
      <c r="AX937" s="140"/>
      <c r="AY937" s="140"/>
      <c r="AZ937" s="140"/>
      <c r="BA937" s="140"/>
      <c r="BB937" s="140"/>
      <c r="BC937" s="140"/>
    </row>
    <row r="938" ht="15.75" customHeight="1">
      <c r="C938" s="137"/>
      <c r="D938" s="138"/>
      <c r="E938" s="138"/>
      <c r="F938" s="138"/>
      <c r="J938" s="138"/>
      <c r="K938" s="138"/>
      <c r="L938" s="138"/>
      <c r="M938" s="139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32"/>
      <c r="AE938" s="140"/>
      <c r="AF938" s="140"/>
      <c r="AG938" s="140"/>
      <c r="AH938" s="140"/>
      <c r="AI938" s="140"/>
      <c r="AJ938" s="141"/>
      <c r="AK938" s="140"/>
      <c r="AL938" s="140"/>
      <c r="AM938" s="140"/>
      <c r="AN938" s="140"/>
      <c r="AO938" s="140"/>
      <c r="AP938" s="140"/>
      <c r="AQ938" s="138"/>
      <c r="AR938" s="140"/>
      <c r="AS938" s="140"/>
      <c r="AT938" s="140"/>
      <c r="AU938" s="140"/>
      <c r="AV938" s="138"/>
      <c r="AW938" s="138"/>
      <c r="AX938" s="140"/>
      <c r="AY938" s="140"/>
      <c r="AZ938" s="140"/>
      <c r="BA938" s="140"/>
      <c r="BB938" s="140"/>
      <c r="BC938" s="140"/>
    </row>
    <row r="939" ht="15.75" customHeight="1">
      <c r="C939" s="137"/>
      <c r="D939" s="138"/>
      <c r="E939" s="138"/>
      <c r="F939" s="138"/>
      <c r="J939" s="138"/>
      <c r="K939" s="138"/>
      <c r="L939" s="138"/>
      <c r="M939" s="139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32"/>
      <c r="AE939" s="140"/>
      <c r="AF939" s="140"/>
      <c r="AG939" s="140"/>
      <c r="AH939" s="140"/>
      <c r="AI939" s="140"/>
      <c r="AJ939" s="141"/>
      <c r="AK939" s="140"/>
      <c r="AL939" s="140"/>
      <c r="AM939" s="140"/>
      <c r="AN939" s="140"/>
      <c r="AO939" s="140"/>
      <c r="AP939" s="140"/>
      <c r="AQ939" s="138"/>
      <c r="AR939" s="140"/>
      <c r="AS939" s="140"/>
      <c r="AT939" s="140"/>
      <c r="AU939" s="140"/>
      <c r="AV939" s="138"/>
      <c r="AW939" s="138"/>
      <c r="AX939" s="140"/>
      <c r="AY939" s="140"/>
      <c r="AZ939" s="140"/>
      <c r="BA939" s="140"/>
      <c r="BB939" s="140"/>
      <c r="BC939" s="140"/>
    </row>
    <row r="940" ht="15.75" customHeight="1">
      <c r="C940" s="137"/>
      <c r="D940" s="138"/>
      <c r="E940" s="138"/>
      <c r="F940" s="138"/>
      <c r="J940" s="138"/>
      <c r="K940" s="138"/>
      <c r="L940" s="138"/>
      <c r="M940" s="139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32"/>
      <c r="AE940" s="140"/>
      <c r="AF940" s="140"/>
      <c r="AG940" s="140"/>
      <c r="AH940" s="140"/>
      <c r="AI940" s="140"/>
      <c r="AJ940" s="141"/>
      <c r="AK940" s="140"/>
      <c r="AL940" s="140"/>
      <c r="AM940" s="140"/>
      <c r="AN940" s="140"/>
      <c r="AO940" s="140"/>
      <c r="AP940" s="140"/>
      <c r="AQ940" s="138"/>
      <c r="AR940" s="140"/>
      <c r="AS940" s="140"/>
      <c r="AT940" s="140"/>
      <c r="AU940" s="140"/>
      <c r="AV940" s="138"/>
      <c r="AW940" s="138"/>
      <c r="AX940" s="140"/>
      <c r="AY940" s="140"/>
      <c r="AZ940" s="140"/>
      <c r="BA940" s="140"/>
      <c r="BB940" s="140"/>
      <c r="BC940" s="140"/>
    </row>
    <row r="941" ht="15.75" customHeight="1">
      <c r="C941" s="137"/>
      <c r="D941" s="138"/>
      <c r="E941" s="138"/>
      <c r="F941" s="138"/>
      <c r="J941" s="138"/>
      <c r="K941" s="138"/>
      <c r="L941" s="138"/>
      <c r="M941" s="139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32"/>
      <c r="AE941" s="140"/>
      <c r="AF941" s="140"/>
      <c r="AG941" s="140"/>
      <c r="AH941" s="140"/>
      <c r="AI941" s="140"/>
      <c r="AJ941" s="141"/>
      <c r="AK941" s="140"/>
      <c r="AL941" s="140"/>
      <c r="AM941" s="140"/>
      <c r="AN941" s="140"/>
      <c r="AO941" s="140"/>
      <c r="AP941" s="140"/>
      <c r="AQ941" s="138"/>
      <c r="AR941" s="140"/>
      <c r="AS941" s="140"/>
      <c r="AT941" s="140"/>
      <c r="AU941" s="140"/>
      <c r="AV941" s="138"/>
      <c r="AW941" s="138"/>
      <c r="AX941" s="140"/>
      <c r="AY941" s="140"/>
      <c r="AZ941" s="140"/>
      <c r="BA941" s="140"/>
      <c r="BB941" s="140"/>
      <c r="BC941" s="140"/>
    </row>
    <row r="942" ht="15.75" customHeight="1">
      <c r="C942" s="137"/>
      <c r="D942" s="138"/>
      <c r="E942" s="138"/>
      <c r="F942" s="138"/>
      <c r="J942" s="138"/>
      <c r="K942" s="138"/>
      <c r="L942" s="138"/>
      <c r="M942" s="139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32"/>
      <c r="AE942" s="140"/>
      <c r="AF942" s="140"/>
      <c r="AG942" s="140"/>
      <c r="AH942" s="140"/>
      <c r="AI942" s="140"/>
      <c r="AJ942" s="141"/>
      <c r="AK942" s="140"/>
      <c r="AL942" s="140"/>
      <c r="AM942" s="140"/>
      <c r="AN942" s="140"/>
      <c r="AO942" s="140"/>
      <c r="AP942" s="140"/>
      <c r="AQ942" s="138"/>
      <c r="AR942" s="140"/>
      <c r="AS942" s="140"/>
      <c r="AT942" s="140"/>
      <c r="AU942" s="140"/>
      <c r="AV942" s="138"/>
      <c r="AW942" s="138"/>
      <c r="AX942" s="140"/>
      <c r="AY942" s="140"/>
      <c r="AZ942" s="140"/>
      <c r="BA942" s="140"/>
      <c r="BB942" s="140"/>
      <c r="BC942" s="140"/>
    </row>
    <row r="943" ht="15.75" customHeight="1">
      <c r="C943" s="137"/>
      <c r="D943" s="138"/>
      <c r="E943" s="138"/>
      <c r="F943" s="138"/>
      <c r="J943" s="138"/>
      <c r="K943" s="138"/>
      <c r="L943" s="138"/>
      <c r="M943" s="139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32"/>
      <c r="AE943" s="140"/>
      <c r="AF943" s="140"/>
      <c r="AG943" s="140"/>
      <c r="AH943" s="140"/>
      <c r="AI943" s="140"/>
      <c r="AJ943" s="141"/>
      <c r="AK943" s="140"/>
      <c r="AL943" s="140"/>
      <c r="AM943" s="140"/>
      <c r="AN943" s="140"/>
      <c r="AO943" s="140"/>
      <c r="AP943" s="140"/>
      <c r="AQ943" s="138"/>
      <c r="AR943" s="140"/>
      <c r="AS943" s="140"/>
      <c r="AT943" s="140"/>
      <c r="AU943" s="140"/>
      <c r="AV943" s="138"/>
      <c r="AW943" s="138"/>
      <c r="AX943" s="140"/>
      <c r="AY943" s="140"/>
      <c r="AZ943" s="140"/>
      <c r="BA943" s="140"/>
      <c r="BB943" s="140"/>
      <c r="BC943" s="140"/>
    </row>
    <row r="944" ht="15.75" customHeight="1">
      <c r="C944" s="137"/>
      <c r="D944" s="138"/>
      <c r="E944" s="138"/>
      <c r="F944" s="138"/>
      <c r="J944" s="138"/>
      <c r="K944" s="138"/>
      <c r="L944" s="138"/>
      <c r="M944" s="139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32"/>
      <c r="AE944" s="140"/>
      <c r="AF944" s="140"/>
      <c r="AG944" s="140"/>
      <c r="AH944" s="140"/>
      <c r="AI944" s="140"/>
      <c r="AJ944" s="141"/>
      <c r="AK944" s="140"/>
      <c r="AL944" s="140"/>
      <c r="AM944" s="140"/>
      <c r="AN944" s="140"/>
      <c r="AO944" s="140"/>
      <c r="AP944" s="140"/>
      <c r="AQ944" s="138"/>
      <c r="AR944" s="140"/>
      <c r="AS944" s="140"/>
      <c r="AT944" s="140"/>
      <c r="AU944" s="140"/>
      <c r="AV944" s="138"/>
      <c r="AW944" s="138"/>
      <c r="AX944" s="140"/>
      <c r="AY944" s="140"/>
      <c r="AZ944" s="140"/>
      <c r="BA944" s="140"/>
      <c r="BB944" s="140"/>
      <c r="BC944" s="140"/>
    </row>
    <row r="945" ht="15.75" customHeight="1">
      <c r="C945" s="137"/>
      <c r="D945" s="138"/>
      <c r="E945" s="138"/>
      <c r="F945" s="138"/>
      <c r="J945" s="138"/>
      <c r="K945" s="138"/>
      <c r="L945" s="138"/>
      <c r="M945" s="139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32"/>
      <c r="AE945" s="140"/>
      <c r="AF945" s="140"/>
      <c r="AG945" s="140"/>
      <c r="AH945" s="140"/>
      <c r="AI945" s="140"/>
      <c r="AJ945" s="141"/>
      <c r="AK945" s="140"/>
      <c r="AL945" s="140"/>
      <c r="AM945" s="140"/>
      <c r="AN945" s="140"/>
      <c r="AO945" s="140"/>
      <c r="AP945" s="140"/>
      <c r="AQ945" s="138"/>
      <c r="AR945" s="140"/>
      <c r="AS945" s="140"/>
      <c r="AT945" s="140"/>
      <c r="AU945" s="140"/>
      <c r="AV945" s="138"/>
      <c r="AW945" s="138"/>
      <c r="AX945" s="140"/>
      <c r="AY945" s="140"/>
      <c r="AZ945" s="140"/>
      <c r="BA945" s="140"/>
      <c r="BB945" s="140"/>
      <c r="BC945" s="140"/>
    </row>
    <row r="946" ht="15.75" customHeight="1">
      <c r="C946" s="137"/>
      <c r="D946" s="138"/>
      <c r="E946" s="138"/>
      <c r="F946" s="138"/>
      <c r="J946" s="138"/>
      <c r="K946" s="138"/>
      <c r="L946" s="138"/>
      <c r="M946" s="139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32"/>
      <c r="AE946" s="140"/>
      <c r="AF946" s="140"/>
      <c r="AG946" s="140"/>
      <c r="AH946" s="140"/>
      <c r="AI946" s="140"/>
      <c r="AJ946" s="141"/>
      <c r="AK946" s="140"/>
      <c r="AL946" s="140"/>
      <c r="AM946" s="140"/>
      <c r="AN946" s="140"/>
      <c r="AO946" s="140"/>
      <c r="AP946" s="140"/>
      <c r="AQ946" s="138"/>
      <c r="AR946" s="140"/>
      <c r="AS946" s="140"/>
      <c r="AT946" s="140"/>
      <c r="AU946" s="140"/>
      <c r="AV946" s="138"/>
      <c r="AW946" s="138"/>
      <c r="AX946" s="140"/>
      <c r="AY946" s="140"/>
      <c r="AZ946" s="140"/>
      <c r="BA946" s="140"/>
      <c r="BB946" s="140"/>
      <c r="BC946" s="140"/>
    </row>
    <row r="947" ht="15.75" customHeight="1">
      <c r="C947" s="137"/>
      <c r="D947" s="138"/>
      <c r="E947" s="138"/>
      <c r="F947" s="138"/>
      <c r="J947" s="138"/>
      <c r="K947" s="138"/>
      <c r="L947" s="138"/>
      <c r="M947" s="139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32"/>
      <c r="AE947" s="140"/>
      <c r="AF947" s="140"/>
      <c r="AG947" s="140"/>
      <c r="AH947" s="140"/>
      <c r="AI947" s="140"/>
      <c r="AJ947" s="141"/>
      <c r="AK947" s="140"/>
      <c r="AL947" s="140"/>
      <c r="AM947" s="140"/>
      <c r="AN947" s="140"/>
      <c r="AO947" s="140"/>
      <c r="AP947" s="140"/>
      <c r="AQ947" s="138"/>
      <c r="AR947" s="140"/>
      <c r="AS947" s="140"/>
      <c r="AT947" s="140"/>
      <c r="AU947" s="140"/>
      <c r="AV947" s="138"/>
      <c r="AW947" s="138"/>
      <c r="AX947" s="140"/>
      <c r="AY947" s="140"/>
      <c r="AZ947" s="140"/>
      <c r="BA947" s="140"/>
      <c r="BB947" s="140"/>
      <c r="BC947" s="140"/>
    </row>
    <row r="948" ht="15.75" customHeight="1">
      <c r="C948" s="137"/>
      <c r="D948" s="138"/>
      <c r="E948" s="138"/>
      <c r="F948" s="138"/>
      <c r="J948" s="138"/>
      <c r="K948" s="138"/>
      <c r="L948" s="138"/>
      <c r="M948" s="139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32"/>
      <c r="AE948" s="140"/>
      <c r="AF948" s="140"/>
      <c r="AG948" s="140"/>
      <c r="AH948" s="140"/>
      <c r="AI948" s="140"/>
      <c r="AJ948" s="141"/>
      <c r="AK948" s="140"/>
      <c r="AL948" s="140"/>
      <c r="AM948" s="140"/>
      <c r="AN948" s="140"/>
      <c r="AO948" s="140"/>
      <c r="AP948" s="140"/>
      <c r="AQ948" s="138"/>
      <c r="AR948" s="140"/>
      <c r="AS948" s="140"/>
      <c r="AT948" s="140"/>
      <c r="AU948" s="140"/>
      <c r="AV948" s="138"/>
      <c r="AW948" s="138"/>
      <c r="AX948" s="140"/>
      <c r="AY948" s="140"/>
      <c r="AZ948" s="140"/>
      <c r="BA948" s="140"/>
      <c r="BB948" s="140"/>
      <c r="BC948" s="140"/>
    </row>
    <row r="949" ht="15.75" customHeight="1">
      <c r="C949" s="137"/>
      <c r="D949" s="138"/>
      <c r="E949" s="138"/>
      <c r="F949" s="138"/>
      <c r="J949" s="138"/>
      <c r="K949" s="138"/>
      <c r="L949" s="138"/>
      <c r="M949" s="139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32"/>
      <c r="AE949" s="140"/>
      <c r="AF949" s="140"/>
      <c r="AG949" s="140"/>
      <c r="AH949" s="140"/>
      <c r="AI949" s="140"/>
      <c r="AJ949" s="141"/>
      <c r="AK949" s="140"/>
      <c r="AL949" s="140"/>
      <c r="AM949" s="140"/>
      <c r="AN949" s="140"/>
      <c r="AO949" s="140"/>
      <c r="AP949" s="140"/>
      <c r="AQ949" s="138"/>
      <c r="AR949" s="140"/>
      <c r="AS949" s="140"/>
      <c r="AT949" s="140"/>
      <c r="AU949" s="140"/>
      <c r="AV949" s="138"/>
      <c r="AW949" s="138"/>
      <c r="AX949" s="140"/>
      <c r="AY949" s="140"/>
      <c r="AZ949" s="140"/>
      <c r="BA949" s="140"/>
      <c r="BB949" s="140"/>
      <c r="BC949" s="140"/>
    </row>
    <row r="950" ht="15.75" customHeight="1">
      <c r="C950" s="137"/>
      <c r="D950" s="138"/>
      <c r="E950" s="138"/>
      <c r="F950" s="138"/>
      <c r="J950" s="138"/>
      <c r="K950" s="138"/>
      <c r="L950" s="138"/>
      <c r="M950" s="139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32"/>
      <c r="AE950" s="140"/>
      <c r="AF950" s="140"/>
      <c r="AG950" s="140"/>
      <c r="AH950" s="140"/>
      <c r="AI950" s="140"/>
      <c r="AJ950" s="141"/>
      <c r="AK950" s="140"/>
      <c r="AL950" s="140"/>
      <c r="AM950" s="140"/>
      <c r="AN950" s="140"/>
      <c r="AO950" s="140"/>
      <c r="AP950" s="140"/>
      <c r="AQ950" s="138"/>
      <c r="AR950" s="140"/>
      <c r="AS950" s="140"/>
      <c r="AT950" s="140"/>
      <c r="AU950" s="140"/>
      <c r="AV950" s="138"/>
      <c r="AW950" s="138"/>
      <c r="AX950" s="140"/>
      <c r="AY950" s="140"/>
      <c r="AZ950" s="140"/>
      <c r="BA950" s="140"/>
      <c r="BB950" s="140"/>
      <c r="BC950" s="140"/>
    </row>
    <row r="951" ht="15.75" customHeight="1">
      <c r="C951" s="137"/>
      <c r="D951" s="138"/>
      <c r="E951" s="138"/>
      <c r="F951" s="138"/>
      <c r="J951" s="138"/>
      <c r="K951" s="138"/>
      <c r="L951" s="138"/>
      <c r="M951" s="139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32"/>
      <c r="AE951" s="140"/>
      <c r="AF951" s="140"/>
      <c r="AG951" s="140"/>
      <c r="AH951" s="140"/>
      <c r="AI951" s="140"/>
      <c r="AJ951" s="141"/>
      <c r="AK951" s="140"/>
      <c r="AL951" s="140"/>
      <c r="AM951" s="140"/>
      <c r="AN951" s="140"/>
      <c r="AO951" s="140"/>
      <c r="AP951" s="140"/>
      <c r="AQ951" s="138"/>
      <c r="AR951" s="140"/>
      <c r="AS951" s="140"/>
      <c r="AT951" s="140"/>
      <c r="AU951" s="140"/>
      <c r="AV951" s="138"/>
      <c r="AW951" s="138"/>
      <c r="AX951" s="140"/>
      <c r="AY951" s="140"/>
      <c r="AZ951" s="140"/>
      <c r="BA951" s="140"/>
      <c r="BB951" s="140"/>
      <c r="BC951" s="140"/>
    </row>
    <row r="952" ht="15.75" customHeight="1">
      <c r="C952" s="137"/>
      <c r="D952" s="138"/>
      <c r="E952" s="138"/>
      <c r="F952" s="138"/>
      <c r="J952" s="138"/>
      <c r="K952" s="138"/>
      <c r="L952" s="138"/>
      <c r="M952" s="139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32"/>
      <c r="AE952" s="140"/>
      <c r="AF952" s="140"/>
      <c r="AG952" s="140"/>
      <c r="AH952" s="140"/>
      <c r="AI952" s="140"/>
      <c r="AJ952" s="141"/>
      <c r="AK952" s="140"/>
      <c r="AL952" s="140"/>
      <c r="AM952" s="140"/>
      <c r="AN952" s="140"/>
      <c r="AO952" s="140"/>
      <c r="AP952" s="140"/>
      <c r="AQ952" s="138"/>
      <c r="AR952" s="140"/>
      <c r="AS952" s="140"/>
      <c r="AT952" s="140"/>
      <c r="AU952" s="140"/>
      <c r="AV952" s="138"/>
      <c r="AW952" s="138"/>
      <c r="AX952" s="140"/>
      <c r="AY952" s="140"/>
      <c r="AZ952" s="140"/>
      <c r="BA952" s="140"/>
      <c r="BB952" s="140"/>
      <c r="BC952" s="140"/>
    </row>
    <row r="953" ht="15.75" customHeight="1">
      <c r="C953" s="137"/>
      <c r="D953" s="138"/>
      <c r="E953" s="138"/>
      <c r="F953" s="138"/>
      <c r="J953" s="138"/>
      <c r="K953" s="138"/>
      <c r="L953" s="138"/>
      <c r="M953" s="139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32"/>
      <c r="AE953" s="140"/>
      <c r="AF953" s="140"/>
      <c r="AG953" s="140"/>
      <c r="AH953" s="140"/>
      <c r="AI953" s="140"/>
      <c r="AJ953" s="141"/>
      <c r="AK953" s="140"/>
      <c r="AL953" s="140"/>
      <c r="AM953" s="140"/>
      <c r="AN953" s="140"/>
      <c r="AO953" s="140"/>
      <c r="AP953" s="140"/>
      <c r="AQ953" s="138"/>
      <c r="AR953" s="140"/>
      <c r="AS953" s="140"/>
      <c r="AT953" s="140"/>
      <c r="AU953" s="140"/>
      <c r="AV953" s="138"/>
      <c r="AW953" s="138"/>
      <c r="AX953" s="140"/>
      <c r="AY953" s="140"/>
      <c r="AZ953" s="140"/>
      <c r="BA953" s="140"/>
      <c r="BB953" s="140"/>
      <c r="BC953" s="140"/>
    </row>
    <row r="954" ht="15.75" customHeight="1">
      <c r="C954" s="137"/>
      <c r="D954" s="138"/>
      <c r="E954" s="138"/>
      <c r="F954" s="138"/>
      <c r="J954" s="138"/>
      <c r="K954" s="138"/>
      <c r="L954" s="138"/>
      <c r="M954" s="139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32"/>
      <c r="AE954" s="140"/>
      <c r="AF954" s="140"/>
      <c r="AG954" s="140"/>
      <c r="AH954" s="140"/>
      <c r="AI954" s="140"/>
      <c r="AJ954" s="141"/>
      <c r="AK954" s="140"/>
      <c r="AL954" s="140"/>
      <c r="AM954" s="140"/>
      <c r="AN954" s="140"/>
      <c r="AO954" s="140"/>
      <c r="AP954" s="140"/>
      <c r="AQ954" s="138"/>
      <c r="AR954" s="140"/>
      <c r="AS954" s="140"/>
      <c r="AT954" s="140"/>
      <c r="AU954" s="140"/>
      <c r="AV954" s="138"/>
      <c r="AW954" s="138"/>
      <c r="AX954" s="140"/>
      <c r="AY954" s="140"/>
      <c r="AZ954" s="140"/>
      <c r="BA954" s="140"/>
      <c r="BB954" s="140"/>
      <c r="BC954" s="140"/>
    </row>
    <row r="955" ht="15.75" customHeight="1">
      <c r="C955" s="137"/>
      <c r="D955" s="138"/>
      <c r="E955" s="138"/>
      <c r="F955" s="138"/>
      <c r="J955" s="138"/>
      <c r="K955" s="138"/>
      <c r="L955" s="138"/>
      <c r="M955" s="139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32"/>
      <c r="AE955" s="140"/>
      <c r="AF955" s="140"/>
      <c r="AG955" s="140"/>
      <c r="AH955" s="140"/>
      <c r="AI955" s="140"/>
      <c r="AJ955" s="141"/>
      <c r="AK955" s="140"/>
      <c r="AL955" s="140"/>
      <c r="AM955" s="140"/>
      <c r="AN955" s="140"/>
      <c r="AO955" s="140"/>
      <c r="AP955" s="140"/>
      <c r="AQ955" s="138"/>
      <c r="AR955" s="140"/>
      <c r="AS955" s="140"/>
      <c r="AT955" s="140"/>
      <c r="AU955" s="140"/>
      <c r="AV955" s="138"/>
      <c r="AW955" s="138"/>
      <c r="AX955" s="140"/>
      <c r="AY955" s="140"/>
      <c r="AZ955" s="140"/>
      <c r="BA955" s="140"/>
      <c r="BB955" s="140"/>
      <c r="BC955" s="140"/>
    </row>
    <row r="956" ht="15.75" customHeight="1">
      <c r="C956" s="137"/>
      <c r="D956" s="138"/>
      <c r="E956" s="138"/>
      <c r="F956" s="138"/>
      <c r="J956" s="138"/>
      <c r="K956" s="138"/>
      <c r="L956" s="138"/>
      <c r="M956" s="139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32"/>
      <c r="AE956" s="140"/>
      <c r="AF956" s="140"/>
      <c r="AG956" s="140"/>
      <c r="AH956" s="140"/>
      <c r="AI956" s="140"/>
      <c r="AJ956" s="141"/>
      <c r="AK956" s="140"/>
      <c r="AL956" s="140"/>
      <c r="AM956" s="140"/>
      <c r="AN956" s="140"/>
      <c r="AO956" s="140"/>
      <c r="AP956" s="140"/>
      <c r="AQ956" s="138"/>
      <c r="AR956" s="140"/>
      <c r="AS956" s="140"/>
      <c r="AT956" s="140"/>
      <c r="AU956" s="140"/>
      <c r="AV956" s="138"/>
      <c r="AW956" s="138"/>
      <c r="AX956" s="140"/>
      <c r="AY956" s="140"/>
      <c r="AZ956" s="140"/>
      <c r="BA956" s="140"/>
      <c r="BB956" s="140"/>
      <c r="BC956" s="140"/>
    </row>
    <row r="957" ht="15.75" customHeight="1">
      <c r="C957" s="137"/>
      <c r="D957" s="138"/>
      <c r="E957" s="138"/>
      <c r="F957" s="138"/>
      <c r="J957" s="138"/>
      <c r="K957" s="138"/>
      <c r="L957" s="138"/>
      <c r="M957" s="139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32"/>
      <c r="AE957" s="140"/>
      <c r="AF957" s="140"/>
      <c r="AG957" s="140"/>
      <c r="AH957" s="140"/>
      <c r="AI957" s="140"/>
      <c r="AJ957" s="141"/>
      <c r="AK957" s="140"/>
      <c r="AL957" s="140"/>
      <c r="AM957" s="140"/>
      <c r="AN957" s="140"/>
      <c r="AO957" s="140"/>
      <c r="AP957" s="140"/>
      <c r="AQ957" s="138"/>
      <c r="AR957" s="140"/>
      <c r="AS957" s="140"/>
      <c r="AT957" s="140"/>
      <c r="AU957" s="140"/>
      <c r="AV957" s="138"/>
      <c r="AW957" s="138"/>
      <c r="AX957" s="140"/>
      <c r="AY957" s="140"/>
      <c r="AZ957" s="140"/>
      <c r="BA957" s="140"/>
      <c r="BB957" s="140"/>
      <c r="BC957" s="140"/>
    </row>
    <row r="958" ht="15.75" customHeight="1">
      <c r="C958" s="137"/>
      <c r="D958" s="138"/>
      <c r="E958" s="138"/>
      <c r="F958" s="138"/>
      <c r="J958" s="138"/>
      <c r="K958" s="138"/>
      <c r="L958" s="138"/>
      <c r="M958" s="139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32"/>
      <c r="AE958" s="140"/>
      <c r="AF958" s="140"/>
      <c r="AG958" s="140"/>
      <c r="AH958" s="140"/>
      <c r="AI958" s="140"/>
      <c r="AJ958" s="141"/>
      <c r="AK958" s="140"/>
      <c r="AL958" s="140"/>
      <c r="AM958" s="140"/>
      <c r="AN958" s="140"/>
      <c r="AO958" s="140"/>
      <c r="AP958" s="140"/>
      <c r="AQ958" s="138"/>
      <c r="AR958" s="140"/>
      <c r="AS958" s="140"/>
      <c r="AT958" s="140"/>
      <c r="AU958" s="140"/>
      <c r="AV958" s="138"/>
      <c r="AW958" s="138"/>
      <c r="AX958" s="140"/>
      <c r="AY958" s="140"/>
      <c r="AZ958" s="140"/>
      <c r="BA958" s="140"/>
      <c r="BB958" s="140"/>
      <c r="BC958" s="140"/>
    </row>
    <row r="959" ht="15.75" customHeight="1">
      <c r="C959" s="137"/>
      <c r="D959" s="138"/>
      <c r="E959" s="138"/>
      <c r="F959" s="138"/>
      <c r="J959" s="138"/>
      <c r="K959" s="138"/>
      <c r="L959" s="138"/>
      <c r="M959" s="139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32"/>
      <c r="AE959" s="140"/>
      <c r="AF959" s="140"/>
      <c r="AG959" s="140"/>
      <c r="AH959" s="140"/>
      <c r="AI959" s="140"/>
      <c r="AJ959" s="141"/>
      <c r="AK959" s="140"/>
      <c r="AL959" s="140"/>
      <c r="AM959" s="140"/>
      <c r="AN959" s="140"/>
      <c r="AO959" s="140"/>
      <c r="AP959" s="140"/>
      <c r="AQ959" s="138"/>
      <c r="AR959" s="140"/>
      <c r="AS959" s="140"/>
      <c r="AT959" s="140"/>
      <c r="AU959" s="140"/>
      <c r="AV959" s="138"/>
      <c r="AW959" s="138"/>
      <c r="AX959" s="140"/>
      <c r="AY959" s="140"/>
      <c r="AZ959" s="140"/>
      <c r="BA959" s="140"/>
      <c r="BB959" s="140"/>
      <c r="BC959" s="140"/>
    </row>
    <row r="960" ht="15.75" customHeight="1">
      <c r="C960" s="137"/>
      <c r="D960" s="138"/>
      <c r="E960" s="138"/>
      <c r="F960" s="138"/>
      <c r="J960" s="138"/>
      <c r="K960" s="138"/>
      <c r="L960" s="138"/>
      <c r="M960" s="139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32"/>
      <c r="AE960" s="140"/>
      <c r="AF960" s="140"/>
      <c r="AG960" s="140"/>
      <c r="AH960" s="140"/>
      <c r="AI960" s="140"/>
      <c r="AJ960" s="141"/>
      <c r="AK960" s="140"/>
      <c r="AL960" s="140"/>
      <c r="AM960" s="140"/>
      <c r="AN960" s="140"/>
      <c r="AO960" s="140"/>
      <c r="AP960" s="140"/>
      <c r="AQ960" s="138"/>
      <c r="AR960" s="140"/>
      <c r="AS960" s="140"/>
      <c r="AT960" s="140"/>
      <c r="AU960" s="140"/>
      <c r="AV960" s="138"/>
      <c r="AW960" s="138"/>
      <c r="AX960" s="140"/>
      <c r="AY960" s="140"/>
      <c r="AZ960" s="140"/>
      <c r="BA960" s="140"/>
      <c r="BB960" s="140"/>
      <c r="BC960" s="140"/>
    </row>
    <row r="961" ht="15.75" customHeight="1">
      <c r="C961" s="137"/>
      <c r="D961" s="138"/>
      <c r="E961" s="138"/>
      <c r="F961" s="138"/>
      <c r="J961" s="138"/>
      <c r="K961" s="138"/>
      <c r="L961" s="138"/>
      <c r="M961" s="139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32"/>
      <c r="AE961" s="140"/>
      <c r="AF961" s="140"/>
      <c r="AG961" s="140"/>
      <c r="AH961" s="140"/>
      <c r="AI961" s="140"/>
      <c r="AJ961" s="141"/>
      <c r="AK961" s="140"/>
      <c r="AL961" s="140"/>
      <c r="AM961" s="140"/>
      <c r="AN961" s="140"/>
      <c r="AO961" s="140"/>
      <c r="AP961" s="140"/>
      <c r="AQ961" s="138"/>
      <c r="AR961" s="140"/>
      <c r="AS961" s="140"/>
      <c r="AT961" s="140"/>
      <c r="AU961" s="140"/>
      <c r="AV961" s="138"/>
      <c r="AW961" s="138"/>
      <c r="AX961" s="140"/>
      <c r="AY961" s="140"/>
      <c r="AZ961" s="140"/>
      <c r="BA961" s="140"/>
      <c r="BB961" s="140"/>
      <c r="BC961" s="140"/>
    </row>
    <row r="962" ht="15.75" customHeight="1">
      <c r="C962" s="137"/>
      <c r="D962" s="138"/>
      <c r="E962" s="138"/>
      <c r="F962" s="138"/>
      <c r="J962" s="138"/>
      <c r="K962" s="138"/>
      <c r="L962" s="138"/>
      <c r="M962" s="139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32"/>
      <c r="AE962" s="140"/>
      <c r="AF962" s="140"/>
      <c r="AG962" s="140"/>
      <c r="AH962" s="140"/>
      <c r="AI962" s="140"/>
      <c r="AJ962" s="141"/>
      <c r="AK962" s="140"/>
      <c r="AL962" s="140"/>
      <c r="AM962" s="140"/>
      <c r="AN962" s="140"/>
      <c r="AO962" s="140"/>
      <c r="AP962" s="140"/>
      <c r="AQ962" s="138"/>
      <c r="AR962" s="140"/>
      <c r="AS962" s="140"/>
      <c r="AT962" s="140"/>
      <c r="AU962" s="140"/>
      <c r="AV962" s="138"/>
      <c r="AW962" s="138"/>
      <c r="AX962" s="140"/>
      <c r="AY962" s="140"/>
      <c r="AZ962" s="140"/>
      <c r="BA962" s="140"/>
      <c r="BB962" s="140"/>
      <c r="BC962" s="140"/>
    </row>
    <row r="963" ht="15.75" customHeight="1">
      <c r="C963" s="137"/>
      <c r="D963" s="138"/>
      <c r="E963" s="138"/>
      <c r="F963" s="138"/>
      <c r="J963" s="138"/>
      <c r="K963" s="138"/>
      <c r="L963" s="138"/>
      <c r="M963" s="139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32"/>
      <c r="AE963" s="140"/>
      <c r="AF963" s="140"/>
      <c r="AG963" s="140"/>
      <c r="AH963" s="140"/>
      <c r="AI963" s="140"/>
      <c r="AJ963" s="141"/>
      <c r="AK963" s="140"/>
      <c r="AL963" s="140"/>
      <c r="AM963" s="140"/>
      <c r="AN963" s="140"/>
      <c r="AO963" s="140"/>
      <c r="AP963" s="140"/>
      <c r="AQ963" s="138"/>
      <c r="AR963" s="140"/>
      <c r="AS963" s="140"/>
      <c r="AT963" s="140"/>
      <c r="AU963" s="140"/>
      <c r="AV963" s="138"/>
      <c r="AW963" s="138"/>
      <c r="AX963" s="140"/>
      <c r="AY963" s="140"/>
      <c r="AZ963" s="140"/>
      <c r="BA963" s="140"/>
      <c r="BB963" s="140"/>
      <c r="BC963" s="140"/>
    </row>
    <row r="964" ht="15.75" customHeight="1">
      <c r="C964" s="137"/>
      <c r="D964" s="138"/>
      <c r="E964" s="138"/>
      <c r="F964" s="138"/>
      <c r="J964" s="138"/>
      <c r="K964" s="138"/>
      <c r="L964" s="138"/>
      <c r="M964" s="139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32"/>
      <c r="AE964" s="140"/>
      <c r="AF964" s="140"/>
      <c r="AG964" s="140"/>
      <c r="AH964" s="140"/>
      <c r="AI964" s="140"/>
      <c r="AJ964" s="141"/>
      <c r="AK964" s="140"/>
      <c r="AL964" s="140"/>
      <c r="AM964" s="140"/>
      <c r="AN964" s="140"/>
      <c r="AO964" s="140"/>
      <c r="AP964" s="140"/>
      <c r="AQ964" s="138"/>
      <c r="AR964" s="140"/>
      <c r="AS964" s="140"/>
      <c r="AT964" s="140"/>
      <c r="AU964" s="140"/>
      <c r="AV964" s="138"/>
      <c r="AW964" s="138"/>
      <c r="AX964" s="140"/>
      <c r="AY964" s="140"/>
      <c r="AZ964" s="140"/>
      <c r="BA964" s="140"/>
      <c r="BB964" s="140"/>
      <c r="BC964" s="140"/>
    </row>
    <row r="965" ht="15.75" customHeight="1">
      <c r="C965" s="137"/>
      <c r="D965" s="138"/>
      <c r="E965" s="138"/>
      <c r="F965" s="138"/>
      <c r="J965" s="138"/>
      <c r="K965" s="138"/>
      <c r="L965" s="138"/>
      <c r="M965" s="139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32"/>
      <c r="AE965" s="140"/>
      <c r="AF965" s="140"/>
      <c r="AG965" s="140"/>
      <c r="AH965" s="140"/>
      <c r="AI965" s="140"/>
      <c r="AJ965" s="141"/>
      <c r="AK965" s="140"/>
      <c r="AL965" s="140"/>
      <c r="AM965" s="140"/>
      <c r="AN965" s="140"/>
      <c r="AO965" s="140"/>
      <c r="AP965" s="140"/>
      <c r="AQ965" s="138"/>
      <c r="AR965" s="140"/>
      <c r="AS965" s="140"/>
      <c r="AT965" s="140"/>
      <c r="AU965" s="140"/>
      <c r="AV965" s="138"/>
      <c r="AW965" s="138"/>
      <c r="AX965" s="140"/>
      <c r="AY965" s="140"/>
      <c r="AZ965" s="140"/>
      <c r="BA965" s="140"/>
      <c r="BB965" s="140"/>
      <c r="BC965" s="140"/>
    </row>
    <row r="966" ht="15.75" customHeight="1">
      <c r="C966" s="137"/>
      <c r="D966" s="138"/>
      <c r="E966" s="138"/>
      <c r="F966" s="138"/>
      <c r="J966" s="138"/>
      <c r="K966" s="138"/>
      <c r="L966" s="138"/>
      <c r="M966" s="139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32"/>
      <c r="AE966" s="140"/>
      <c r="AF966" s="140"/>
      <c r="AG966" s="140"/>
      <c r="AH966" s="140"/>
      <c r="AI966" s="140"/>
      <c r="AJ966" s="141"/>
      <c r="AK966" s="140"/>
      <c r="AL966" s="140"/>
      <c r="AM966" s="140"/>
      <c r="AN966" s="140"/>
      <c r="AO966" s="140"/>
      <c r="AP966" s="140"/>
      <c r="AQ966" s="138"/>
      <c r="AR966" s="140"/>
      <c r="AS966" s="140"/>
      <c r="AT966" s="140"/>
      <c r="AU966" s="140"/>
      <c r="AV966" s="138"/>
      <c r="AW966" s="138"/>
      <c r="AX966" s="140"/>
      <c r="AY966" s="140"/>
      <c r="AZ966" s="140"/>
      <c r="BA966" s="140"/>
      <c r="BB966" s="140"/>
      <c r="BC966" s="140"/>
    </row>
    <row r="967" ht="15.75" customHeight="1">
      <c r="C967" s="137"/>
      <c r="D967" s="138"/>
      <c r="E967" s="138"/>
      <c r="F967" s="138"/>
      <c r="J967" s="138"/>
      <c r="K967" s="138"/>
      <c r="L967" s="138"/>
      <c r="M967" s="139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32"/>
      <c r="AE967" s="140"/>
      <c r="AF967" s="140"/>
      <c r="AG967" s="140"/>
      <c r="AH967" s="140"/>
      <c r="AI967" s="140"/>
      <c r="AJ967" s="141"/>
      <c r="AK967" s="140"/>
      <c r="AL967" s="140"/>
      <c r="AM967" s="140"/>
      <c r="AN967" s="140"/>
      <c r="AO967" s="140"/>
      <c r="AP967" s="140"/>
      <c r="AQ967" s="138"/>
      <c r="AR967" s="140"/>
      <c r="AS967" s="140"/>
      <c r="AT967" s="140"/>
      <c r="AU967" s="140"/>
      <c r="AV967" s="138"/>
      <c r="AW967" s="138"/>
      <c r="AX967" s="140"/>
      <c r="AY967" s="140"/>
      <c r="AZ967" s="140"/>
      <c r="BA967" s="140"/>
      <c r="BB967" s="140"/>
      <c r="BC967" s="140"/>
    </row>
    <row r="968" ht="15.75" customHeight="1">
      <c r="C968" s="137"/>
      <c r="D968" s="138"/>
      <c r="E968" s="138"/>
      <c r="F968" s="138"/>
      <c r="J968" s="138"/>
      <c r="K968" s="138"/>
      <c r="L968" s="138"/>
      <c r="M968" s="139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32"/>
      <c r="AE968" s="140"/>
      <c r="AF968" s="140"/>
      <c r="AG968" s="140"/>
      <c r="AH968" s="140"/>
      <c r="AI968" s="140"/>
      <c r="AJ968" s="141"/>
      <c r="AK968" s="140"/>
      <c r="AL968" s="140"/>
      <c r="AM968" s="140"/>
      <c r="AN968" s="140"/>
      <c r="AO968" s="140"/>
      <c r="AP968" s="140"/>
      <c r="AQ968" s="138"/>
      <c r="AR968" s="140"/>
      <c r="AS968" s="140"/>
      <c r="AT968" s="140"/>
      <c r="AU968" s="140"/>
      <c r="AV968" s="138"/>
      <c r="AW968" s="138"/>
      <c r="AX968" s="140"/>
      <c r="AY968" s="140"/>
      <c r="AZ968" s="140"/>
      <c r="BA968" s="140"/>
      <c r="BB968" s="140"/>
      <c r="BC968" s="140"/>
    </row>
    <row r="969" ht="15.75" customHeight="1">
      <c r="C969" s="137"/>
      <c r="D969" s="138"/>
      <c r="E969" s="138"/>
      <c r="F969" s="138"/>
      <c r="J969" s="138"/>
      <c r="K969" s="138"/>
      <c r="L969" s="138"/>
      <c r="M969" s="139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32"/>
      <c r="AE969" s="140"/>
      <c r="AF969" s="140"/>
      <c r="AG969" s="140"/>
      <c r="AH969" s="140"/>
      <c r="AI969" s="140"/>
      <c r="AJ969" s="141"/>
      <c r="AK969" s="140"/>
      <c r="AL969" s="140"/>
      <c r="AM969" s="140"/>
      <c r="AN969" s="140"/>
      <c r="AO969" s="140"/>
      <c r="AP969" s="140"/>
      <c r="AQ969" s="138"/>
      <c r="AR969" s="140"/>
      <c r="AS969" s="140"/>
      <c r="AT969" s="140"/>
      <c r="AU969" s="140"/>
      <c r="AV969" s="138"/>
      <c r="AW969" s="138"/>
      <c r="AX969" s="140"/>
      <c r="AY969" s="140"/>
      <c r="AZ969" s="140"/>
      <c r="BA969" s="140"/>
      <c r="BB969" s="140"/>
      <c r="BC969" s="140"/>
    </row>
    <row r="970" ht="15.75" customHeight="1">
      <c r="C970" s="137"/>
      <c r="D970" s="138"/>
      <c r="E970" s="138"/>
      <c r="F970" s="138"/>
      <c r="J970" s="138"/>
      <c r="K970" s="138"/>
      <c r="L970" s="138"/>
      <c r="M970" s="139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32"/>
      <c r="AE970" s="140"/>
      <c r="AF970" s="140"/>
      <c r="AG970" s="140"/>
      <c r="AH970" s="140"/>
      <c r="AI970" s="140"/>
      <c r="AJ970" s="141"/>
      <c r="AK970" s="140"/>
      <c r="AL970" s="140"/>
      <c r="AM970" s="140"/>
      <c r="AN970" s="140"/>
      <c r="AO970" s="140"/>
      <c r="AP970" s="140"/>
      <c r="AQ970" s="138"/>
      <c r="AR970" s="140"/>
      <c r="AS970" s="140"/>
      <c r="AT970" s="140"/>
      <c r="AU970" s="140"/>
      <c r="AV970" s="138"/>
      <c r="AW970" s="138"/>
      <c r="AX970" s="140"/>
      <c r="AY970" s="140"/>
      <c r="AZ970" s="140"/>
      <c r="BA970" s="140"/>
      <c r="BB970" s="140"/>
      <c r="BC970" s="140"/>
    </row>
    <row r="971" ht="15.75" customHeight="1">
      <c r="C971" s="137"/>
      <c r="D971" s="138"/>
      <c r="E971" s="138"/>
      <c r="F971" s="138"/>
      <c r="J971" s="138"/>
      <c r="K971" s="138"/>
      <c r="L971" s="138"/>
      <c r="M971" s="139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32"/>
      <c r="AE971" s="140"/>
      <c r="AF971" s="140"/>
      <c r="AG971" s="140"/>
      <c r="AH971" s="140"/>
      <c r="AI971" s="140"/>
      <c r="AJ971" s="141"/>
      <c r="AK971" s="140"/>
      <c r="AL971" s="140"/>
      <c r="AM971" s="140"/>
      <c r="AN971" s="140"/>
      <c r="AO971" s="140"/>
      <c r="AP971" s="140"/>
      <c r="AQ971" s="138"/>
      <c r="AR971" s="140"/>
      <c r="AS971" s="140"/>
      <c r="AT971" s="140"/>
      <c r="AU971" s="140"/>
      <c r="AV971" s="138"/>
      <c r="AW971" s="138"/>
      <c r="AX971" s="140"/>
      <c r="AY971" s="140"/>
      <c r="AZ971" s="140"/>
      <c r="BA971" s="140"/>
      <c r="BB971" s="140"/>
      <c r="BC971" s="140"/>
    </row>
    <row r="972" ht="15.75" customHeight="1">
      <c r="C972" s="137"/>
      <c r="D972" s="138"/>
      <c r="E972" s="138"/>
      <c r="F972" s="138"/>
      <c r="J972" s="138"/>
      <c r="K972" s="138"/>
      <c r="L972" s="138"/>
      <c r="M972" s="139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32"/>
      <c r="AE972" s="140"/>
      <c r="AF972" s="140"/>
      <c r="AG972" s="140"/>
      <c r="AH972" s="140"/>
      <c r="AI972" s="140"/>
      <c r="AJ972" s="141"/>
      <c r="AK972" s="140"/>
      <c r="AL972" s="140"/>
      <c r="AM972" s="140"/>
      <c r="AN972" s="140"/>
      <c r="AO972" s="140"/>
      <c r="AP972" s="140"/>
      <c r="AQ972" s="138"/>
      <c r="AR972" s="140"/>
      <c r="AS972" s="140"/>
      <c r="AT972" s="140"/>
      <c r="AU972" s="140"/>
      <c r="AV972" s="138"/>
      <c r="AW972" s="138"/>
      <c r="AX972" s="140"/>
      <c r="AY972" s="140"/>
      <c r="AZ972" s="140"/>
      <c r="BA972" s="140"/>
      <c r="BB972" s="140"/>
      <c r="BC972" s="140"/>
    </row>
    <row r="973" ht="15.75" customHeight="1">
      <c r="C973" s="137"/>
      <c r="D973" s="138"/>
      <c r="E973" s="138"/>
      <c r="F973" s="138"/>
      <c r="J973" s="138"/>
      <c r="K973" s="138"/>
      <c r="L973" s="138"/>
      <c r="M973" s="139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32"/>
      <c r="AE973" s="140"/>
      <c r="AF973" s="140"/>
      <c r="AG973" s="140"/>
      <c r="AH973" s="140"/>
      <c r="AI973" s="140"/>
      <c r="AJ973" s="141"/>
      <c r="AK973" s="140"/>
      <c r="AL973" s="140"/>
      <c r="AM973" s="140"/>
      <c r="AN973" s="140"/>
      <c r="AO973" s="140"/>
      <c r="AP973" s="140"/>
      <c r="AQ973" s="138"/>
      <c r="AR973" s="140"/>
      <c r="AS973" s="140"/>
      <c r="AT973" s="140"/>
      <c r="AU973" s="140"/>
      <c r="AV973" s="138"/>
      <c r="AW973" s="138"/>
      <c r="AX973" s="140"/>
      <c r="AY973" s="140"/>
      <c r="AZ973" s="140"/>
      <c r="BA973" s="140"/>
      <c r="BB973" s="140"/>
      <c r="BC973" s="140"/>
    </row>
    <row r="974" ht="15.75" customHeight="1">
      <c r="C974" s="137"/>
      <c r="D974" s="138"/>
      <c r="E974" s="138"/>
      <c r="F974" s="138"/>
      <c r="J974" s="138"/>
      <c r="K974" s="138"/>
      <c r="L974" s="138"/>
      <c r="M974" s="139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32"/>
      <c r="AE974" s="140"/>
      <c r="AF974" s="140"/>
      <c r="AG974" s="140"/>
      <c r="AH974" s="140"/>
      <c r="AI974" s="140"/>
      <c r="AJ974" s="141"/>
      <c r="AK974" s="140"/>
      <c r="AL974" s="140"/>
      <c r="AM974" s="140"/>
      <c r="AN974" s="140"/>
      <c r="AO974" s="140"/>
      <c r="AP974" s="140"/>
      <c r="AQ974" s="138"/>
      <c r="AR974" s="140"/>
      <c r="AS974" s="140"/>
      <c r="AT974" s="140"/>
      <c r="AU974" s="140"/>
      <c r="AV974" s="138"/>
      <c r="AW974" s="138"/>
      <c r="AX974" s="140"/>
      <c r="AY974" s="140"/>
      <c r="AZ974" s="140"/>
      <c r="BA974" s="140"/>
      <c r="BB974" s="140"/>
      <c r="BC974" s="140"/>
    </row>
    <row r="975" ht="15.75" customHeight="1">
      <c r="C975" s="137"/>
      <c r="D975" s="138"/>
      <c r="E975" s="138"/>
      <c r="F975" s="138"/>
      <c r="J975" s="138"/>
      <c r="K975" s="138"/>
      <c r="L975" s="138"/>
      <c r="M975" s="139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32"/>
      <c r="AE975" s="140"/>
      <c r="AF975" s="140"/>
      <c r="AG975" s="140"/>
      <c r="AH975" s="140"/>
      <c r="AI975" s="140"/>
      <c r="AJ975" s="141"/>
      <c r="AK975" s="140"/>
      <c r="AL975" s="140"/>
      <c r="AM975" s="140"/>
      <c r="AN975" s="140"/>
      <c r="AO975" s="140"/>
      <c r="AP975" s="140"/>
      <c r="AQ975" s="138"/>
      <c r="AR975" s="140"/>
      <c r="AS975" s="140"/>
      <c r="AT975" s="140"/>
      <c r="AU975" s="140"/>
      <c r="AV975" s="138"/>
      <c r="AW975" s="138"/>
      <c r="AX975" s="140"/>
      <c r="AY975" s="140"/>
      <c r="AZ975" s="140"/>
      <c r="BA975" s="140"/>
      <c r="BB975" s="140"/>
      <c r="BC975" s="140"/>
    </row>
    <row r="976" ht="15.75" customHeight="1">
      <c r="C976" s="137"/>
      <c r="D976" s="138"/>
      <c r="E976" s="138"/>
      <c r="F976" s="138"/>
      <c r="J976" s="138"/>
      <c r="K976" s="138"/>
      <c r="L976" s="138"/>
      <c r="M976" s="139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32"/>
      <c r="AE976" s="140"/>
      <c r="AF976" s="140"/>
      <c r="AG976" s="140"/>
      <c r="AH976" s="140"/>
      <c r="AI976" s="140"/>
      <c r="AJ976" s="141"/>
      <c r="AK976" s="140"/>
      <c r="AL976" s="140"/>
      <c r="AM976" s="140"/>
      <c r="AN976" s="140"/>
      <c r="AO976" s="140"/>
      <c r="AP976" s="140"/>
      <c r="AQ976" s="138"/>
      <c r="AR976" s="140"/>
      <c r="AS976" s="140"/>
      <c r="AT976" s="140"/>
      <c r="AU976" s="140"/>
      <c r="AV976" s="138"/>
      <c r="AW976" s="138"/>
      <c r="AX976" s="140"/>
      <c r="AY976" s="140"/>
      <c r="AZ976" s="140"/>
      <c r="BA976" s="140"/>
      <c r="BB976" s="140"/>
      <c r="BC976" s="140"/>
    </row>
    <row r="977" ht="15.75" customHeight="1">
      <c r="C977" s="137"/>
      <c r="D977" s="138"/>
      <c r="E977" s="138"/>
      <c r="F977" s="138"/>
      <c r="J977" s="138"/>
      <c r="K977" s="138"/>
      <c r="L977" s="138"/>
      <c r="M977" s="139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32"/>
      <c r="AE977" s="140"/>
      <c r="AF977" s="140"/>
      <c r="AG977" s="140"/>
      <c r="AH977" s="140"/>
      <c r="AI977" s="140"/>
      <c r="AJ977" s="141"/>
      <c r="AK977" s="140"/>
      <c r="AL977" s="140"/>
      <c r="AM977" s="140"/>
      <c r="AN977" s="140"/>
      <c r="AO977" s="140"/>
      <c r="AP977" s="140"/>
      <c r="AQ977" s="138"/>
      <c r="AR977" s="140"/>
      <c r="AS977" s="140"/>
      <c r="AT977" s="140"/>
      <c r="AU977" s="140"/>
      <c r="AV977" s="138"/>
      <c r="AW977" s="138"/>
      <c r="AX977" s="140"/>
      <c r="AY977" s="140"/>
      <c r="AZ977" s="140"/>
      <c r="BA977" s="140"/>
      <c r="BB977" s="140"/>
      <c r="BC977" s="140"/>
    </row>
    <row r="978" ht="15.75" customHeight="1">
      <c r="C978" s="137"/>
      <c r="D978" s="138"/>
      <c r="E978" s="138"/>
      <c r="F978" s="138"/>
      <c r="J978" s="138"/>
      <c r="K978" s="138"/>
      <c r="L978" s="138"/>
      <c r="M978" s="139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32"/>
      <c r="AE978" s="140"/>
      <c r="AF978" s="140"/>
      <c r="AG978" s="140"/>
      <c r="AH978" s="140"/>
      <c r="AI978" s="140"/>
      <c r="AJ978" s="141"/>
      <c r="AK978" s="140"/>
      <c r="AL978" s="140"/>
      <c r="AM978" s="140"/>
      <c r="AN978" s="140"/>
      <c r="AO978" s="140"/>
      <c r="AP978" s="140"/>
      <c r="AQ978" s="138"/>
      <c r="AR978" s="140"/>
      <c r="AS978" s="140"/>
      <c r="AT978" s="140"/>
      <c r="AU978" s="140"/>
      <c r="AV978" s="138"/>
      <c r="AW978" s="138"/>
      <c r="AX978" s="140"/>
      <c r="AY978" s="140"/>
      <c r="AZ978" s="140"/>
      <c r="BA978" s="140"/>
      <c r="BB978" s="140"/>
      <c r="BC978" s="140"/>
    </row>
    <row r="979" ht="15.75" customHeight="1">
      <c r="C979" s="137"/>
      <c r="D979" s="138"/>
      <c r="E979" s="138"/>
      <c r="F979" s="138"/>
      <c r="J979" s="138"/>
      <c r="K979" s="138"/>
      <c r="L979" s="138"/>
      <c r="M979" s="139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32"/>
      <c r="AE979" s="140"/>
      <c r="AF979" s="140"/>
      <c r="AG979" s="140"/>
      <c r="AH979" s="140"/>
      <c r="AI979" s="140"/>
      <c r="AJ979" s="141"/>
      <c r="AK979" s="140"/>
      <c r="AL979" s="140"/>
      <c r="AM979" s="140"/>
      <c r="AN979" s="140"/>
      <c r="AO979" s="140"/>
      <c r="AP979" s="140"/>
      <c r="AQ979" s="138"/>
      <c r="AR979" s="140"/>
      <c r="AS979" s="140"/>
      <c r="AT979" s="140"/>
      <c r="AU979" s="140"/>
      <c r="AV979" s="138"/>
      <c r="AW979" s="138"/>
      <c r="AX979" s="140"/>
      <c r="AY979" s="140"/>
      <c r="AZ979" s="140"/>
      <c r="BA979" s="140"/>
      <c r="BB979" s="140"/>
      <c r="BC979" s="140"/>
    </row>
    <row r="980" ht="15.75" customHeight="1">
      <c r="C980" s="137"/>
      <c r="D980" s="138"/>
      <c r="E980" s="138"/>
      <c r="F980" s="138"/>
      <c r="J980" s="138"/>
      <c r="K980" s="138"/>
      <c r="L980" s="138"/>
      <c r="M980" s="139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32"/>
      <c r="AE980" s="140"/>
      <c r="AF980" s="140"/>
      <c r="AG980" s="140"/>
      <c r="AH980" s="140"/>
      <c r="AI980" s="140"/>
      <c r="AJ980" s="141"/>
      <c r="AK980" s="140"/>
      <c r="AL980" s="140"/>
      <c r="AM980" s="140"/>
      <c r="AN980" s="140"/>
      <c r="AO980" s="140"/>
      <c r="AP980" s="140"/>
      <c r="AQ980" s="138"/>
      <c r="AR980" s="140"/>
      <c r="AS980" s="140"/>
      <c r="AT980" s="140"/>
      <c r="AU980" s="140"/>
      <c r="AV980" s="138"/>
      <c r="AW980" s="138"/>
      <c r="AX980" s="140"/>
      <c r="AY980" s="140"/>
      <c r="AZ980" s="140"/>
      <c r="BA980" s="140"/>
      <c r="BB980" s="140"/>
      <c r="BC980" s="140"/>
    </row>
    <row r="981" ht="15.75" customHeight="1">
      <c r="C981" s="137"/>
      <c r="D981" s="138"/>
      <c r="E981" s="138"/>
      <c r="F981" s="138"/>
      <c r="J981" s="138"/>
      <c r="K981" s="138"/>
      <c r="L981" s="138"/>
      <c r="M981" s="139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32"/>
      <c r="AE981" s="140"/>
      <c r="AF981" s="140"/>
      <c r="AG981" s="140"/>
      <c r="AH981" s="140"/>
      <c r="AI981" s="140"/>
      <c r="AJ981" s="141"/>
      <c r="AK981" s="140"/>
      <c r="AL981" s="140"/>
      <c r="AM981" s="140"/>
      <c r="AN981" s="140"/>
      <c r="AO981" s="140"/>
      <c r="AP981" s="140"/>
      <c r="AQ981" s="138"/>
      <c r="AR981" s="140"/>
      <c r="AS981" s="140"/>
      <c r="AT981" s="140"/>
      <c r="AU981" s="140"/>
      <c r="AV981" s="138"/>
      <c r="AW981" s="138"/>
      <c r="AX981" s="140"/>
      <c r="AY981" s="140"/>
      <c r="AZ981" s="140"/>
      <c r="BA981" s="140"/>
      <c r="BB981" s="140"/>
      <c r="BC981" s="140"/>
    </row>
    <row r="982" ht="15.75" customHeight="1">
      <c r="C982" s="137"/>
      <c r="D982" s="138"/>
      <c r="E982" s="138"/>
      <c r="F982" s="138"/>
      <c r="J982" s="138"/>
      <c r="K982" s="138"/>
      <c r="L982" s="138"/>
      <c r="M982" s="139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32"/>
      <c r="AE982" s="140"/>
      <c r="AF982" s="140"/>
      <c r="AG982" s="140"/>
      <c r="AH982" s="140"/>
      <c r="AI982" s="140"/>
      <c r="AJ982" s="141"/>
      <c r="AK982" s="140"/>
      <c r="AL982" s="140"/>
      <c r="AM982" s="140"/>
      <c r="AN982" s="140"/>
      <c r="AO982" s="140"/>
      <c r="AP982" s="140"/>
      <c r="AQ982" s="138"/>
      <c r="AR982" s="140"/>
      <c r="AS982" s="140"/>
      <c r="AT982" s="140"/>
      <c r="AU982" s="140"/>
      <c r="AV982" s="138"/>
      <c r="AW982" s="138"/>
      <c r="AX982" s="140"/>
      <c r="AY982" s="140"/>
      <c r="AZ982" s="140"/>
      <c r="BA982" s="140"/>
      <c r="BB982" s="140"/>
      <c r="BC982" s="140"/>
    </row>
    <row r="983" ht="15.75" customHeight="1">
      <c r="C983" s="137"/>
      <c r="D983" s="138"/>
      <c r="E983" s="138"/>
      <c r="F983" s="138"/>
      <c r="J983" s="138"/>
      <c r="K983" s="138"/>
      <c r="L983" s="138"/>
      <c r="M983" s="139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32"/>
      <c r="AE983" s="140"/>
      <c r="AF983" s="140"/>
      <c r="AG983" s="140"/>
      <c r="AH983" s="140"/>
      <c r="AI983" s="140"/>
      <c r="AJ983" s="141"/>
      <c r="AK983" s="140"/>
      <c r="AL983" s="140"/>
      <c r="AM983" s="140"/>
      <c r="AN983" s="140"/>
      <c r="AO983" s="140"/>
      <c r="AP983" s="140"/>
      <c r="AQ983" s="138"/>
      <c r="AR983" s="140"/>
      <c r="AS983" s="140"/>
      <c r="AT983" s="140"/>
      <c r="AU983" s="140"/>
      <c r="AV983" s="138"/>
      <c r="AW983" s="138"/>
      <c r="AX983" s="140"/>
      <c r="AY983" s="140"/>
      <c r="AZ983" s="140"/>
      <c r="BA983" s="140"/>
      <c r="BB983" s="140"/>
      <c r="BC983" s="140"/>
    </row>
    <row r="984" ht="15.75" customHeight="1">
      <c r="C984" s="137"/>
      <c r="D984" s="138"/>
      <c r="E984" s="138"/>
      <c r="F984" s="138"/>
      <c r="J984" s="138"/>
      <c r="K984" s="138"/>
      <c r="L984" s="138"/>
      <c r="M984" s="139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32"/>
      <c r="AE984" s="140"/>
      <c r="AF984" s="140"/>
      <c r="AG984" s="140"/>
      <c r="AH984" s="140"/>
      <c r="AI984" s="140"/>
      <c r="AJ984" s="141"/>
      <c r="AK984" s="140"/>
      <c r="AL984" s="140"/>
      <c r="AM984" s="140"/>
      <c r="AN984" s="140"/>
      <c r="AO984" s="140"/>
      <c r="AP984" s="140"/>
      <c r="AQ984" s="138"/>
      <c r="AR984" s="140"/>
      <c r="AS984" s="140"/>
      <c r="AT984" s="140"/>
      <c r="AU984" s="140"/>
      <c r="AV984" s="138"/>
      <c r="AW984" s="138"/>
      <c r="AX984" s="140"/>
      <c r="AY984" s="140"/>
      <c r="AZ984" s="140"/>
      <c r="BA984" s="140"/>
      <c r="BB984" s="140"/>
      <c r="BC984" s="140"/>
    </row>
    <row r="985" ht="15.75" customHeight="1">
      <c r="C985" s="137"/>
      <c r="D985" s="138"/>
      <c r="E985" s="138"/>
      <c r="F985" s="138"/>
      <c r="J985" s="138"/>
      <c r="K985" s="138"/>
      <c r="L985" s="138"/>
      <c r="M985" s="139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32"/>
      <c r="AE985" s="140"/>
      <c r="AF985" s="140"/>
      <c r="AG985" s="140"/>
      <c r="AH985" s="140"/>
      <c r="AI985" s="140"/>
      <c r="AJ985" s="141"/>
      <c r="AK985" s="140"/>
      <c r="AL985" s="140"/>
      <c r="AM985" s="140"/>
      <c r="AN985" s="140"/>
      <c r="AO985" s="140"/>
      <c r="AP985" s="140"/>
      <c r="AQ985" s="138"/>
      <c r="AR985" s="140"/>
      <c r="AS985" s="140"/>
      <c r="AT985" s="140"/>
      <c r="AU985" s="140"/>
      <c r="AV985" s="138"/>
      <c r="AW985" s="138"/>
      <c r="AX985" s="140"/>
      <c r="AY985" s="140"/>
      <c r="AZ985" s="140"/>
      <c r="BA985" s="140"/>
      <c r="BB985" s="140"/>
      <c r="BC985" s="140"/>
    </row>
    <row r="986" ht="15.75" customHeight="1">
      <c r="C986" s="137"/>
      <c r="D986" s="138"/>
      <c r="E986" s="138"/>
      <c r="F986" s="138"/>
      <c r="J986" s="138"/>
      <c r="K986" s="138"/>
      <c r="L986" s="138"/>
      <c r="M986" s="139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32"/>
      <c r="AE986" s="140"/>
      <c r="AF986" s="140"/>
      <c r="AG986" s="140"/>
      <c r="AH986" s="140"/>
      <c r="AI986" s="140"/>
      <c r="AJ986" s="141"/>
      <c r="AK986" s="140"/>
      <c r="AL986" s="140"/>
      <c r="AM986" s="140"/>
      <c r="AN986" s="140"/>
      <c r="AO986" s="140"/>
      <c r="AP986" s="140"/>
      <c r="AQ986" s="138"/>
      <c r="AR986" s="140"/>
      <c r="AS986" s="140"/>
      <c r="AT986" s="140"/>
      <c r="AU986" s="140"/>
      <c r="AV986" s="138"/>
      <c r="AW986" s="138"/>
      <c r="AX986" s="140"/>
      <c r="AY986" s="140"/>
      <c r="AZ986" s="140"/>
      <c r="BA986" s="140"/>
      <c r="BB986" s="140"/>
      <c r="BC986" s="140"/>
    </row>
    <row r="987" ht="15.75" customHeight="1">
      <c r="C987" s="137"/>
      <c r="D987" s="138"/>
      <c r="E987" s="138"/>
      <c r="F987" s="138"/>
      <c r="J987" s="138"/>
      <c r="K987" s="138"/>
      <c r="L987" s="138"/>
      <c r="M987" s="139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32"/>
      <c r="AE987" s="140"/>
      <c r="AF987" s="140"/>
      <c r="AG987" s="140"/>
      <c r="AH987" s="140"/>
      <c r="AI987" s="140"/>
      <c r="AJ987" s="141"/>
      <c r="AK987" s="140"/>
      <c r="AL987" s="140"/>
      <c r="AM987" s="140"/>
      <c r="AN987" s="140"/>
      <c r="AO987" s="140"/>
      <c r="AP987" s="140"/>
      <c r="AQ987" s="138"/>
      <c r="AR987" s="140"/>
      <c r="AS987" s="140"/>
      <c r="AT987" s="140"/>
      <c r="AU987" s="140"/>
      <c r="AV987" s="138"/>
      <c r="AW987" s="138"/>
      <c r="AX987" s="140"/>
      <c r="AY987" s="140"/>
      <c r="AZ987" s="140"/>
      <c r="BA987" s="140"/>
      <c r="BB987" s="140"/>
      <c r="BC987" s="140"/>
    </row>
    <row r="988" ht="15.75" customHeight="1">
      <c r="C988" s="137"/>
      <c r="D988" s="138"/>
      <c r="E988" s="138"/>
      <c r="F988" s="138"/>
      <c r="J988" s="138"/>
      <c r="K988" s="138"/>
      <c r="L988" s="138"/>
      <c r="M988" s="139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32"/>
      <c r="AE988" s="140"/>
      <c r="AF988" s="140"/>
      <c r="AG988" s="140"/>
      <c r="AH988" s="140"/>
      <c r="AI988" s="140"/>
      <c r="AJ988" s="141"/>
      <c r="AK988" s="140"/>
      <c r="AL988" s="140"/>
      <c r="AM988" s="140"/>
      <c r="AN988" s="140"/>
      <c r="AO988" s="140"/>
      <c r="AP988" s="140"/>
      <c r="AQ988" s="138"/>
      <c r="AR988" s="140"/>
      <c r="AS988" s="140"/>
      <c r="AT988" s="140"/>
      <c r="AU988" s="140"/>
      <c r="AV988" s="138"/>
      <c r="AW988" s="138"/>
      <c r="AX988" s="140"/>
      <c r="AY988" s="140"/>
      <c r="AZ988" s="140"/>
      <c r="BA988" s="140"/>
      <c r="BB988" s="140"/>
      <c r="BC988" s="140"/>
    </row>
    <row r="989" ht="15.75" customHeight="1">
      <c r="C989" s="137"/>
      <c r="D989" s="138"/>
      <c r="E989" s="138"/>
      <c r="F989" s="138"/>
      <c r="J989" s="138"/>
      <c r="K989" s="138"/>
      <c r="L989" s="138"/>
      <c r="M989" s="139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32"/>
      <c r="AE989" s="140"/>
      <c r="AF989" s="140"/>
      <c r="AG989" s="140"/>
      <c r="AH989" s="140"/>
      <c r="AI989" s="140"/>
      <c r="AJ989" s="141"/>
      <c r="AK989" s="140"/>
      <c r="AL989" s="140"/>
      <c r="AM989" s="140"/>
      <c r="AN989" s="140"/>
      <c r="AO989" s="140"/>
      <c r="AP989" s="140"/>
      <c r="AQ989" s="138"/>
      <c r="AR989" s="140"/>
      <c r="AS989" s="140"/>
      <c r="AT989" s="140"/>
      <c r="AU989" s="140"/>
      <c r="AV989" s="138"/>
      <c r="AW989" s="138"/>
      <c r="AX989" s="140"/>
      <c r="AY989" s="140"/>
      <c r="AZ989" s="140"/>
      <c r="BA989" s="140"/>
      <c r="BB989" s="140"/>
      <c r="BC989" s="140"/>
    </row>
    <row r="990" ht="15.75" customHeight="1">
      <c r="C990" s="137"/>
      <c r="D990" s="138"/>
      <c r="E990" s="138"/>
      <c r="F990" s="138"/>
      <c r="J990" s="138"/>
      <c r="K990" s="138"/>
      <c r="L990" s="138"/>
      <c r="M990" s="139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32"/>
      <c r="AE990" s="140"/>
      <c r="AF990" s="140"/>
      <c r="AG990" s="140"/>
      <c r="AH990" s="140"/>
      <c r="AI990" s="140"/>
      <c r="AJ990" s="141"/>
      <c r="AK990" s="140"/>
      <c r="AL990" s="140"/>
      <c r="AM990" s="140"/>
      <c r="AN990" s="140"/>
      <c r="AO990" s="140"/>
      <c r="AP990" s="140"/>
      <c r="AQ990" s="138"/>
      <c r="AR990" s="140"/>
      <c r="AS990" s="140"/>
      <c r="AT990" s="140"/>
      <c r="AU990" s="140"/>
      <c r="AV990" s="138"/>
      <c r="AW990" s="138"/>
      <c r="AX990" s="140"/>
      <c r="AY990" s="140"/>
      <c r="AZ990" s="140"/>
      <c r="BA990" s="140"/>
      <c r="BB990" s="140"/>
      <c r="BC990" s="140"/>
    </row>
    <row r="991" ht="15.75" customHeight="1">
      <c r="C991" s="137"/>
      <c r="D991" s="138"/>
      <c r="E991" s="138"/>
      <c r="F991" s="138"/>
      <c r="J991" s="138"/>
      <c r="K991" s="138"/>
      <c r="L991" s="138"/>
      <c r="M991" s="139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32"/>
      <c r="AE991" s="140"/>
      <c r="AF991" s="140"/>
      <c r="AG991" s="140"/>
      <c r="AH991" s="140"/>
      <c r="AI991" s="140"/>
      <c r="AJ991" s="141"/>
      <c r="AK991" s="140"/>
      <c r="AL991" s="140"/>
      <c r="AM991" s="140"/>
      <c r="AN991" s="140"/>
      <c r="AO991" s="140"/>
      <c r="AP991" s="140"/>
      <c r="AQ991" s="138"/>
      <c r="AR991" s="140"/>
      <c r="AS991" s="140"/>
      <c r="AT991" s="140"/>
      <c r="AU991" s="140"/>
      <c r="AV991" s="138"/>
      <c r="AW991" s="138"/>
      <c r="AX991" s="140"/>
      <c r="AY991" s="140"/>
      <c r="AZ991" s="140"/>
      <c r="BA991" s="140"/>
      <c r="BB991" s="140"/>
      <c r="BC991" s="140"/>
    </row>
    <row r="992" ht="15.75" customHeight="1">
      <c r="C992" s="137"/>
      <c r="D992" s="138"/>
      <c r="E992" s="138"/>
      <c r="F992" s="138"/>
      <c r="J992" s="138"/>
      <c r="K992" s="138"/>
      <c r="L992" s="138"/>
      <c r="M992" s="139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32"/>
      <c r="AE992" s="140"/>
      <c r="AF992" s="140"/>
      <c r="AG992" s="140"/>
      <c r="AH992" s="140"/>
      <c r="AI992" s="140"/>
      <c r="AJ992" s="141"/>
      <c r="AK992" s="140"/>
      <c r="AL992" s="140"/>
      <c r="AM992" s="140"/>
      <c r="AN992" s="140"/>
      <c r="AO992" s="140"/>
      <c r="AP992" s="140"/>
      <c r="AQ992" s="138"/>
      <c r="AR992" s="140"/>
      <c r="AS992" s="140"/>
      <c r="AT992" s="140"/>
      <c r="AU992" s="140"/>
      <c r="AV992" s="138"/>
      <c r="AW992" s="138"/>
      <c r="AX992" s="140"/>
      <c r="AY992" s="140"/>
      <c r="AZ992" s="140"/>
      <c r="BA992" s="140"/>
      <c r="BB992" s="140"/>
      <c r="BC992" s="140"/>
    </row>
    <row r="993" ht="15.75" customHeight="1">
      <c r="C993" s="137"/>
      <c r="D993" s="138"/>
      <c r="E993" s="138"/>
      <c r="F993" s="138"/>
      <c r="J993" s="138"/>
      <c r="K993" s="138"/>
      <c r="L993" s="138"/>
      <c r="M993" s="139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32"/>
      <c r="AE993" s="140"/>
      <c r="AF993" s="140"/>
      <c r="AG993" s="140"/>
      <c r="AH993" s="140"/>
      <c r="AI993" s="140"/>
      <c r="AJ993" s="141"/>
      <c r="AK993" s="140"/>
      <c r="AL993" s="140"/>
      <c r="AM993" s="140"/>
      <c r="AN993" s="140"/>
      <c r="AO993" s="140"/>
      <c r="AP993" s="140"/>
      <c r="AQ993" s="138"/>
      <c r="AR993" s="140"/>
      <c r="AS993" s="140"/>
      <c r="AT993" s="140"/>
      <c r="AU993" s="140"/>
      <c r="AV993" s="138"/>
      <c r="AW993" s="138"/>
      <c r="AX993" s="140"/>
      <c r="AY993" s="140"/>
      <c r="AZ993" s="140"/>
      <c r="BA993" s="140"/>
      <c r="BB993" s="140"/>
      <c r="BC993" s="140"/>
    </row>
    <row r="994" ht="15.75" customHeight="1">
      <c r="C994" s="137"/>
      <c r="D994" s="138"/>
      <c r="E994" s="138"/>
      <c r="F994" s="138"/>
      <c r="J994" s="138"/>
      <c r="K994" s="138"/>
      <c r="L994" s="138"/>
      <c r="M994" s="139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32"/>
      <c r="AE994" s="140"/>
      <c r="AF994" s="140"/>
      <c r="AG994" s="140"/>
      <c r="AH994" s="140"/>
      <c r="AI994" s="140"/>
      <c r="AJ994" s="141"/>
      <c r="AK994" s="140"/>
      <c r="AL994" s="140"/>
      <c r="AM994" s="140"/>
      <c r="AN994" s="140"/>
      <c r="AO994" s="140"/>
      <c r="AP994" s="140"/>
      <c r="AQ994" s="138"/>
      <c r="AR994" s="140"/>
      <c r="AS994" s="140"/>
      <c r="AT994" s="140"/>
      <c r="AU994" s="140"/>
      <c r="AV994" s="138"/>
      <c r="AW994" s="138"/>
      <c r="AX994" s="140"/>
      <c r="AY994" s="140"/>
      <c r="AZ994" s="140"/>
      <c r="BA994" s="140"/>
      <c r="BB994" s="140"/>
      <c r="BC994" s="140"/>
    </row>
    <row r="995" ht="15.75" customHeight="1">
      <c r="C995" s="137"/>
      <c r="D995" s="138"/>
      <c r="E995" s="138"/>
      <c r="F995" s="138"/>
      <c r="J995" s="138"/>
      <c r="K995" s="138"/>
      <c r="L995" s="138"/>
      <c r="M995" s="139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32"/>
      <c r="AE995" s="140"/>
      <c r="AF995" s="140"/>
      <c r="AG995" s="140"/>
      <c r="AH995" s="140"/>
      <c r="AI995" s="140"/>
      <c r="AJ995" s="141"/>
      <c r="AK995" s="140"/>
      <c r="AL995" s="140"/>
      <c r="AM995" s="140"/>
      <c r="AN995" s="140"/>
      <c r="AO995" s="140"/>
      <c r="AP995" s="140"/>
      <c r="AQ995" s="138"/>
      <c r="AR995" s="140"/>
      <c r="AS995" s="140"/>
      <c r="AT995" s="140"/>
      <c r="AU995" s="140"/>
      <c r="AV995" s="138"/>
      <c r="AW995" s="138"/>
      <c r="AX995" s="140"/>
      <c r="AY995" s="140"/>
      <c r="AZ995" s="140"/>
      <c r="BA995" s="140"/>
      <c r="BB995" s="140"/>
      <c r="BC995" s="140"/>
    </row>
    <row r="996" ht="15.75" customHeight="1">
      <c r="C996" s="137"/>
      <c r="D996" s="138"/>
      <c r="E996" s="138"/>
      <c r="F996" s="138"/>
      <c r="J996" s="138"/>
      <c r="K996" s="138"/>
      <c r="L996" s="138"/>
      <c r="M996" s="139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32"/>
      <c r="AE996" s="140"/>
      <c r="AF996" s="140"/>
      <c r="AG996" s="140"/>
      <c r="AH996" s="140"/>
      <c r="AI996" s="140"/>
      <c r="AJ996" s="141"/>
      <c r="AK996" s="140"/>
      <c r="AL996" s="140"/>
      <c r="AM996" s="140"/>
      <c r="AN996" s="140"/>
      <c r="AO996" s="140"/>
      <c r="AP996" s="140"/>
      <c r="AQ996" s="138"/>
      <c r="AR996" s="140"/>
      <c r="AS996" s="140"/>
      <c r="AT996" s="140"/>
      <c r="AU996" s="140"/>
      <c r="AV996" s="138"/>
      <c r="AW996" s="138"/>
      <c r="AX996" s="140"/>
      <c r="AY996" s="140"/>
      <c r="AZ996" s="140"/>
      <c r="BA996" s="140"/>
      <c r="BB996" s="140"/>
      <c r="BC996" s="140"/>
    </row>
    <row r="997" ht="15.75" customHeight="1">
      <c r="C997" s="137"/>
      <c r="D997" s="138"/>
      <c r="E997" s="138"/>
      <c r="F997" s="138"/>
      <c r="J997" s="138"/>
      <c r="K997" s="138"/>
      <c r="L997" s="138"/>
      <c r="M997" s="139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32"/>
      <c r="AE997" s="140"/>
      <c r="AF997" s="140"/>
      <c r="AG997" s="140"/>
      <c r="AH997" s="140"/>
      <c r="AI997" s="140"/>
      <c r="AJ997" s="141"/>
      <c r="AK997" s="140"/>
      <c r="AL997" s="140"/>
      <c r="AM997" s="140"/>
      <c r="AN997" s="140"/>
      <c r="AO997" s="140"/>
      <c r="AP997" s="140"/>
      <c r="AQ997" s="138"/>
      <c r="AR997" s="140"/>
      <c r="AS997" s="140"/>
      <c r="AT997" s="140"/>
      <c r="AU997" s="140"/>
      <c r="AV997" s="138"/>
      <c r="AW997" s="138"/>
      <c r="AX997" s="140"/>
      <c r="AY997" s="140"/>
      <c r="AZ997" s="140"/>
      <c r="BA997" s="140"/>
      <c r="BB997" s="140"/>
      <c r="BC997" s="140"/>
    </row>
    <row r="998" ht="15.75" customHeight="1">
      <c r="C998" s="137"/>
      <c r="D998" s="138"/>
      <c r="E998" s="138"/>
      <c r="F998" s="138"/>
      <c r="J998" s="138"/>
      <c r="K998" s="138"/>
      <c r="L998" s="138"/>
      <c r="M998" s="139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32"/>
      <c r="AE998" s="140"/>
      <c r="AF998" s="140"/>
      <c r="AG998" s="140"/>
      <c r="AH998" s="140"/>
      <c r="AI998" s="140"/>
      <c r="AJ998" s="141"/>
      <c r="AK998" s="140"/>
      <c r="AL998" s="140"/>
      <c r="AM998" s="140"/>
      <c r="AN998" s="140"/>
      <c r="AO998" s="140"/>
      <c r="AP998" s="140"/>
      <c r="AQ998" s="138"/>
      <c r="AR998" s="140"/>
      <c r="AS998" s="140"/>
      <c r="AT998" s="140"/>
      <c r="AU998" s="140"/>
      <c r="AV998" s="138"/>
      <c r="AW998" s="138"/>
      <c r="AX998" s="140"/>
      <c r="AY998" s="140"/>
      <c r="AZ998" s="140"/>
      <c r="BA998" s="140"/>
      <c r="BB998" s="140"/>
      <c r="BC998" s="140"/>
    </row>
    <row r="999" ht="15.75" customHeight="1">
      <c r="C999" s="137"/>
      <c r="D999" s="138"/>
      <c r="E999" s="138"/>
      <c r="F999" s="138"/>
      <c r="J999" s="138"/>
      <c r="K999" s="138"/>
      <c r="L999" s="138"/>
      <c r="M999" s="139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32"/>
      <c r="AE999" s="140"/>
      <c r="AF999" s="140"/>
      <c r="AG999" s="140"/>
      <c r="AH999" s="140"/>
      <c r="AI999" s="140"/>
      <c r="AJ999" s="141"/>
      <c r="AK999" s="140"/>
      <c r="AL999" s="140"/>
      <c r="AM999" s="140"/>
      <c r="AN999" s="140"/>
      <c r="AO999" s="140"/>
      <c r="AP999" s="140"/>
      <c r="AQ999" s="138"/>
      <c r="AR999" s="140"/>
      <c r="AS999" s="140"/>
      <c r="AT999" s="140"/>
      <c r="AU999" s="140"/>
      <c r="AV999" s="138"/>
      <c r="AW999" s="138"/>
      <c r="AX999" s="140"/>
      <c r="AY999" s="140"/>
      <c r="AZ999" s="140"/>
      <c r="BA999" s="140"/>
      <c r="BB999" s="140"/>
      <c r="BC999" s="140"/>
    </row>
    <row r="1000" ht="15.75" customHeight="1">
      <c r="C1000" s="137"/>
      <c r="D1000" s="138"/>
      <c r="E1000" s="138"/>
      <c r="F1000" s="138"/>
      <c r="J1000" s="138"/>
      <c r="K1000" s="138"/>
      <c r="L1000" s="138"/>
      <c r="M1000" s="139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32"/>
      <c r="AE1000" s="140"/>
      <c r="AF1000" s="140"/>
      <c r="AG1000" s="140"/>
      <c r="AH1000" s="140"/>
      <c r="AI1000" s="140"/>
      <c r="AJ1000" s="141"/>
      <c r="AK1000" s="140"/>
      <c r="AL1000" s="140"/>
      <c r="AM1000" s="140"/>
      <c r="AN1000" s="140"/>
      <c r="AO1000" s="140"/>
      <c r="AP1000" s="140"/>
      <c r="AQ1000" s="138"/>
      <c r="AR1000" s="140"/>
      <c r="AS1000" s="140"/>
      <c r="AT1000" s="140"/>
      <c r="AU1000" s="140"/>
      <c r="AV1000" s="138"/>
      <c r="AW1000" s="138"/>
      <c r="AX1000" s="140"/>
      <c r="AY1000" s="140"/>
      <c r="AZ1000" s="140"/>
      <c r="BA1000" s="140"/>
      <c r="BB1000" s="140"/>
      <c r="BC1000" s="140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1.14"/>
    <col customWidth="1" min="3" max="3" width="23.71"/>
    <col customWidth="1" min="4" max="4" width="35.86"/>
    <col customWidth="1" min="5" max="26" width="8.71"/>
  </cols>
  <sheetData>
    <row r="1">
      <c r="A1" s="130" t="s">
        <v>73</v>
      </c>
      <c r="B1" s="130" t="s">
        <v>125</v>
      </c>
      <c r="C1" s="130" t="s">
        <v>126</v>
      </c>
      <c r="D1" s="130" t="s">
        <v>127</v>
      </c>
    </row>
    <row r="2">
      <c r="A2" s="130" t="s">
        <v>7</v>
      </c>
      <c r="B2" s="130" t="s">
        <v>128</v>
      </c>
      <c r="C2" s="130" t="s">
        <v>129</v>
      </c>
      <c r="D2" s="130" t="s">
        <v>130</v>
      </c>
    </row>
    <row r="3">
      <c r="A3" s="130" t="s">
        <v>12</v>
      </c>
      <c r="B3" s="130" t="s">
        <v>131</v>
      </c>
      <c r="C3" s="130" t="s">
        <v>129</v>
      </c>
      <c r="D3" s="130" t="s">
        <v>132</v>
      </c>
    </row>
    <row r="4">
      <c r="A4" s="130" t="s">
        <v>22</v>
      </c>
      <c r="B4" s="130" t="s">
        <v>133</v>
      </c>
      <c r="C4" s="130" t="s">
        <v>129</v>
      </c>
      <c r="D4" s="130" t="s">
        <v>134</v>
      </c>
    </row>
    <row r="5">
      <c r="A5" s="130" t="s">
        <v>17</v>
      </c>
      <c r="B5" s="130" t="s">
        <v>135</v>
      </c>
      <c r="C5" s="130" t="s">
        <v>129</v>
      </c>
      <c r="D5" s="130" t="s">
        <v>136</v>
      </c>
    </row>
    <row r="6">
      <c r="A6" s="130" t="s">
        <v>8</v>
      </c>
      <c r="B6" s="130" t="s">
        <v>137</v>
      </c>
      <c r="C6" s="130" t="s">
        <v>138</v>
      </c>
      <c r="D6" s="130" t="s">
        <v>139</v>
      </c>
    </row>
    <row r="7">
      <c r="A7" s="130" t="s">
        <v>18</v>
      </c>
      <c r="B7" s="130" t="s">
        <v>140</v>
      </c>
      <c r="C7" s="130" t="s">
        <v>138</v>
      </c>
      <c r="D7" s="130" t="s">
        <v>141</v>
      </c>
    </row>
    <row r="8">
      <c r="A8" s="130" t="s">
        <v>13</v>
      </c>
      <c r="B8" s="130" t="s">
        <v>142</v>
      </c>
      <c r="C8" s="130" t="s">
        <v>138</v>
      </c>
      <c r="D8" s="130" t="s">
        <v>139</v>
      </c>
    </row>
    <row r="9">
      <c r="A9" s="130" t="s">
        <v>23</v>
      </c>
      <c r="B9" s="130" t="s">
        <v>143</v>
      </c>
      <c r="C9" s="130" t="s">
        <v>138</v>
      </c>
      <c r="D9" s="130" t="s">
        <v>139</v>
      </c>
    </row>
    <row r="10">
      <c r="A10" s="130" t="s">
        <v>9</v>
      </c>
      <c r="B10" s="130" t="s">
        <v>144</v>
      </c>
      <c r="C10" s="130" t="s">
        <v>145</v>
      </c>
      <c r="D10" s="130" t="s">
        <v>146</v>
      </c>
    </row>
    <row r="11">
      <c r="A11" s="130" t="s">
        <v>14</v>
      </c>
      <c r="B11" s="130" t="s">
        <v>147</v>
      </c>
      <c r="C11" s="130" t="s">
        <v>145</v>
      </c>
      <c r="D11" s="130" t="s">
        <v>146</v>
      </c>
    </row>
    <row r="12">
      <c r="A12" s="130" t="s">
        <v>19</v>
      </c>
      <c r="B12" s="130" t="s">
        <v>148</v>
      </c>
      <c r="C12" s="130" t="s">
        <v>145</v>
      </c>
      <c r="D12" s="130" t="s">
        <v>149</v>
      </c>
    </row>
    <row r="13">
      <c r="A13" s="130" t="s">
        <v>24</v>
      </c>
      <c r="B13" s="130" t="s">
        <v>150</v>
      </c>
      <c r="C13" s="130" t="s">
        <v>145</v>
      </c>
      <c r="D13" s="130" t="s">
        <v>151</v>
      </c>
    </row>
    <row r="14">
      <c r="A14" s="130" t="s">
        <v>27</v>
      </c>
      <c r="B14" s="130" t="s">
        <v>152</v>
      </c>
      <c r="C14" s="130" t="s">
        <v>145</v>
      </c>
      <c r="D14" s="130" t="s">
        <v>151</v>
      </c>
    </row>
    <row r="15">
      <c r="A15" s="130" t="s">
        <v>10</v>
      </c>
      <c r="B15" s="130" t="s">
        <v>153</v>
      </c>
      <c r="C15" s="130" t="s">
        <v>154</v>
      </c>
      <c r="D15" s="130" t="s">
        <v>155</v>
      </c>
    </row>
    <row r="16">
      <c r="A16" s="130" t="s">
        <v>20</v>
      </c>
      <c r="B16" s="130" t="s">
        <v>156</v>
      </c>
      <c r="C16" s="130" t="s">
        <v>154</v>
      </c>
      <c r="D16" s="130" t="s">
        <v>155</v>
      </c>
    </row>
    <row r="17">
      <c r="A17" s="130" t="s">
        <v>15</v>
      </c>
      <c r="B17" s="130" t="s">
        <v>157</v>
      </c>
      <c r="C17" s="130" t="s">
        <v>154</v>
      </c>
      <c r="D17" s="130" t="s">
        <v>158</v>
      </c>
    </row>
    <row r="18">
      <c r="A18" s="130" t="s">
        <v>25</v>
      </c>
      <c r="B18" s="130" t="s">
        <v>159</v>
      </c>
      <c r="C18" s="130" t="s">
        <v>154</v>
      </c>
      <c r="D18" s="130" t="s">
        <v>158</v>
      </c>
    </row>
    <row r="19">
      <c r="A19" s="130" t="s">
        <v>11</v>
      </c>
      <c r="B19" s="130" t="s">
        <v>160</v>
      </c>
      <c r="C19" s="130" t="s">
        <v>161</v>
      </c>
      <c r="D19" s="130" t="s">
        <v>162</v>
      </c>
    </row>
    <row r="20">
      <c r="A20" s="130" t="s">
        <v>16</v>
      </c>
      <c r="B20" s="130" t="s">
        <v>163</v>
      </c>
      <c r="C20" s="130" t="s">
        <v>161</v>
      </c>
      <c r="D20" s="130" t="s">
        <v>164</v>
      </c>
    </row>
    <row r="21" ht="15.75" customHeight="1">
      <c r="A21" s="130" t="s">
        <v>21</v>
      </c>
      <c r="B21" s="130" t="s">
        <v>165</v>
      </c>
      <c r="C21" s="130" t="s">
        <v>161</v>
      </c>
      <c r="D21" s="130" t="s">
        <v>166</v>
      </c>
    </row>
    <row r="22" ht="15.75" customHeight="1">
      <c r="A22" s="130" t="s">
        <v>26</v>
      </c>
      <c r="B22" s="130" t="s">
        <v>167</v>
      </c>
      <c r="C22" s="130" t="s">
        <v>161</v>
      </c>
      <c r="D22" s="130" t="s">
        <v>164</v>
      </c>
    </row>
    <row r="23" ht="15.75" customHeight="1">
      <c r="A23" s="130" t="s">
        <v>28</v>
      </c>
      <c r="B23" s="130" t="s">
        <v>168</v>
      </c>
      <c r="C23" s="130" t="s">
        <v>161</v>
      </c>
      <c r="D23" s="130" t="s">
        <v>164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0"/>
    <col customWidth="1" min="3" max="3" width="15.43"/>
    <col customWidth="1" min="4" max="4" width="17.14"/>
    <col customWidth="1" min="5" max="5" width="17.43"/>
    <col customWidth="1" min="6" max="7" width="16.57"/>
    <col customWidth="1" min="8" max="8" width="16.0"/>
    <col customWidth="1" min="9" max="9" width="21.14"/>
    <col customWidth="1" min="10" max="10" width="24.57"/>
    <col customWidth="1" min="11" max="11" width="24.43"/>
    <col customWidth="1" min="12" max="14" width="15.43"/>
    <col customWidth="1" min="15" max="15" width="16.71"/>
    <col customWidth="1" min="16" max="16" width="17.71"/>
    <col customWidth="1" min="17" max="17" width="19.29"/>
    <col customWidth="1" min="18" max="18" width="15.43"/>
    <col customWidth="1" min="19" max="19" width="24.86"/>
    <col customWidth="1" min="20" max="20" width="23.86"/>
    <col customWidth="1" min="21" max="21" width="25.57"/>
    <col customWidth="1" min="22" max="22" width="20.86"/>
    <col customWidth="1" min="23" max="23" width="19.29"/>
    <col customWidth="1" min="24" max="24" width="18.71"/>
    <col customWidth="1" min="25" max="25" width="13.14"/>
    <col customWidth="1" min="26" max="26" width="11.14"/>
    <col customWidth="1" min="27" max="27" width="10.86"/>
    <col customWidth="1" min="28" max="28" width="14.86"/>
    <col customWidth="1" min="29" max="29" width="15.0"/>
    <col customWidth="1" min="30" max="30" width="14.86"/>
    <col customWidth="1" min="31" max="31" width="16.57"/>
    <col customWidth="1" min="32" max="32" width="13.71"/>
    <col customWidth="1" min="33" max="33" width="14.86"/>
    <col customWidth="1" min="34" max="34" width="20.43"/>
    <col customWidth="1" min="35" max="35" width="31.14"/>
    <col customWidth="1" min="36" max="36" width="23.71"/>
    <col customWidth="1" min="37" max="37" width="35.86"/>
    <col customWidth="1" min="38" max="38" width="18.0"/>
    <col customWidth="1" min="39" max="39" width="16.0"/>
    <col customWidth="1" min="40" max="40" width="13.57"/>
    <col customWidth="1" min="41" max="41" width="14.29"/>
    <col customWidth="1" min="42" max="42" width="13.57"/>
    <col customWidth="1" min="43" max="43" width="17.71"/>
    <col customWidth="1" min="44" max="44" width="20.43"/>
    <col customWidth="1" min="45" max="45" width="14.29"/>
    <col customWidth="1" min="46" max="46" width="15.43"/>
  </cols>
  <sheetData>
    <row r="1">
      <c r="A1" s="130" t="s">
        <v>73</v>
      </c>
      <c r="B1" s="130" t="s">
        <v>169</v>
      </c>
      <c r="C1" s="130" t="s">
        <v>170</v>
      </c>
      <c r="D1" s="130" t="s">
        <v>171</v>
      </c>
      <c r="E1" s="130" t="s">
        <v>172</v>
      </c>
      <c r="F1" s="130" t="s">
        <v>173</v>
      </c>
      <c r="G1" s="130" t="s">
        <v>174</v>
      </c>
      <c r="H1" s="130" t="s">
        <v>175</v>
      </c>
      <c r="I1" s="130" t="s">
        <v>176</v>
      </c>
      <c r="J1" s="130" t="s">
        <v>177</v>
      </c>
      <c r="K1" s="130" t="s">
        <v>178</v>
      </c>
      <c r="L1" s="130" t="s">
        <v>179</v>
      </c>
      <c r="M1" s="130" t="s">
        <v>180</v>
      </c>
      <c r="N1" s="130" t="s">
        <v>181</v>
      </c>
      <c r="O1" s="130" t="s">
        <v>182</v>
      </c>
      <c r="P1" s="130" t="s">
        <v>183</v>
      </c>
      <c r="Q1" s="130" t="s">
        <v>184</v>
      </c>
      <c r="R1" s="130" t="s">
        <v>185</v>
      </c>
      <c r="S1" s="130" t="s">
        <v>186</v>
      </c>
      <c r="T1" s="130" t="s">
        <v>187</v>
      </c>
      <c r="U1" s="130" t="s">
        <v>188</v>
      </c>
      <c r="V1" s="130" t="s">
        <v>189</v>
      </c>
      <c r="W1" s="130" t="s">
        <v>190</v>
      </c>
      <c r="X1" s="130" t="s">
        <v>191</v>
      </c>
      <c r="Y1" s="130" t="s">
        <v>192</v>
      </c>
      <c r="Z1" s="130" t="s">
        <v>193</v>
      </c>
      <c r="AA1" s="130" t="s">
        <v>194</v>
      </c>
      <c r="AB1" s="130" t="s">
        <v>195</v>
      </c>
      <c r="AC1" s="130" t="s">
        <v>196</v>
      </c>
      <c r="AD1" s="130" t="s">
        <v>197</v>
      </c>
      <c r="AE1" s="130" t="s">
        <v>198</v>
      </c>
      <c r="AF1" s="130" t="s">
        <v>199</v>
      </c>
      <c r="AG1" s="130" t="s">
        <v>200</v>
      </c>
      <c r="AH1" s="130" t="s">
        <v>201</v>
      </c>
      <c r="AI1" s="130" t="s">
        <v>125</v>
      </c>
      <c r="AJ1" s="130" t="s">
        <v>126</v>
      </c>
      <c r="AK1" s="130" t="s">
        <v>127</v>
      </c>
      <c r="AL1" s="130" t="s">
        <v>202</v>
      </c>
      <c r="AM1" s="130" t="s">
        <v>203</v>
      </c>
      <c r="AN1" s="130" t="s">
        <v>204</v>
      </c>
      <c r="AO1" s="130" t="s">
        <v>205</v>
      </c>
      <c r="AP1" s="130" t="s">
        <v>206</v>
      </c>
      <c r="AQ1" s="130" t="s">
        <v>207</v>
      </c>
      <c r="AR1" s="130" t="s">
        <v>208</v>
      </c>
      <c r="AS1" s="130" t="s">
        <v>209</v>
      </c>
      <c r="AT1" s="130" t="s">
        <v>210</v>
      </c>
    </row>
    <row r="2">
      <c r="A2" s="130" t="s">
        <v>7</v>
      </c>
      <c r="B2" s="130">
        <v>2022.0</v>
      </c>
      <c r="C2" s="130">
        <v>2024.0</v>
      </c>
      <c r="D2" s="130">
        <v>-0.004184211808589633</v>
      </c>
      <c r="E2" s="130">
        <v>-0.03087139956503371</v>
      </c>
      <c r="F2" s="130">
        <v>-0.00245801272998436</v>
      </c>
      <c r="G2" s="130">
        <v>0.043030243047673</v>
      </c>
      <c r="H2" s="130">
        <v>-0.01189744836437312</v>
      </c>
      <c r="I2" s="130">
        <v>0.4454903665126719</v>
      </c>
      <c r="J2" s="130">
        <v>0.3054012651020963</v>
      </c>
      <c r="K2" s="130">
        <v>0.2486237691315463</v>
      </c>
      <c r="L2" s="130">
        <v>1.754402973033081</v>
      </c>
      <c r="M2" s="130">
        <v>0.2730725827457474</v>
      </c>
      <c r="N2" s="130">
        <v>0.5735467767639064</v>
      </c>
      <c r="O2" s="130">
        <v>0.1833827369221709</v>
      </c>
      <c r="P2" s="130">
        <v>0.1553760354998695</v>
      </c>
      <c r="Q2" s="130">
        <v>0.1413527476660849</v>
      </c>
      <c r="R2" s="130">
        <v>2.091440274152983</v>
      </c>
      <c r="S2" s="130">
        <v>33.7134564515165</v>
      </c>
      <c r="T2" s="130">
        <v>1.008716789247592</v>
      </c>
      <c r="U2" s="130">
        <v>0.6826479823895069</v>
      </c>
      <c r="V2" s="130">
        <v>0.9115600923067011</v>
      </c>
      <c r="W2" s="130">
        <v>0.872561463333119</v>
      </c>
      <c r="X2" s="130">
        <v>0.1765110462572138</v>
      </c>
      <c r="Y2" s="130">
        <v>248.8302154541016</v>
      </c>
      <c r="Z2" s="130">
        <v>0.99</v>
      </c>
      <c r="AA2" s="130">
        <v>6.08</v>
      </c>
      <c r="AB2" s="130">
        <v>1.08807E11</v>
      </c>
      <c r="AC2" s="130">
        <v>3.91035E11</v>
      </c>
      <c r="AD2" s="130">
        <v>1.34661E11</v>
      </c>
      <c r="AE2" s="130">
        <v>1.06629E11</v>
      </c>
      <c r="AF2" s="130">
        <v>2.9943E10</v>
      </c>
      <c r="AG2" s="130">
        <v>5.695E10</v>
      </c>
      <c r="AH2" s="130">
        <v>1.5408095E10</v>
      </c>
      <c r="AI2" s="130" t="s">
        <v>128</v>
      </c>
      <c r="AJ2" s="130" t="s">
        <v>129</v>
      </c>
      <c r="AK2" s="130" t="s">
        <v>130</v>
      </c>
      <c r="AL2" s="130">
        <v>3.833999598587265E12</v>
      </c>
      <c r="AM2" s="130">
        <v>3.910685598587265E12</v>
      </c>
      <c r="AN2" s="130">
        <v>40.92602227863512</v>
      </c>
      <c r="AO2" s="130">
        <v>9.804747908978134</v>
      </c>
      <c r="AP2" s="130">
        <v>35.23669983169525</v>
      </c>
      <c r="AQ2" s="130">
        <v>29.04096656483514</v>
      </c>
      <c r="AR2" s="130">
        <v>0.003978616496366022</v>
      </c>
      <c r="AS2" s="130">
        <v>67.32220541856479</v>
      </c>
      <c r="AT2" s="130"/>
    </row>
    <row r="3">
      <c r="A3" s="130" t="s">
        <v>22</v>
      </c>
      <c r="B3" s="130">
        <v>2022.0</v>
      </c>
      <c r="C3" s="130">
        <v>2024.0</v>
      </c>
      <c r="D3" s="130">
        <v>0.04524564182804358</v>
      </c>
      <c r="E3" s="130">
        <v>0.1149806357878231</v>
      </c>
      <c r="F3" s="130">
        <v>0.09108945117996181</v>
      </c>
      <c r="G3" s="130"/>
      <c r="H3" s="130">
        <v>-0.1213245047213333</v>
      </c>
      <c r="I3" s="130">
        <v>0.4679879647539343</v>
      </c>
      <c r="J3" s="130">
        <v>0.05365623370510539</v>
      </c>
      <c r="K3" s="130">
        <v>0.05240860219753799</v>
      </c>
      <c r="L3" s="130">
        <v>0.02282441957189984</v>
      </c>
      <c r="M3" s="130">
        <v>0.01869254639956712</v>
      </c>
      <c r="N3" s="130">
        <v>0.02345017514223384</v>
      </c>
      <c r="O3" s="130">
        <v>-0.2049130095220483</v>
      </c>
      <c r="P3" s="130"/>
      <c r="Q3" s="130"/>
      <c r="R3" s="130">
        <v>0.04814832714565587</v>
      </c>
      <c r="S3" s="130">
        <v>14.23854003529967</v>
      </c>
      <c r="T3" s="130">
        <v>1.058360953590132</v>
      </c>
      <c r="U3" s="130">
        <v>-0.2973460010852111</v>
      </c>
      <c r="V3" s="130">
        <v>2.493734903525128</v>
      </c>
      <c r="W3" s="130">
        <v>1.817039310935715</v>
      </c>
      <c r="X3" s="130">
        <v>0.6224156638000756</v>
      </c>
      <c r="Y3" s="130">
        <v>120.7900009155273</v>
      </c>
      <c r="Z3" s="130"/>
      <c r="AA3" s="130">
        <v>1.0</v>
      </c>
      <c r="AB3" s="130">
        <v>2.405E9</v>
      </c>
      <c r="AC3" s="130">
        <v>2.5785E10</v>
      </c>
      <c r="AD3" s="130">
        <v>5.145E9</v>
      </c>
      <c r="AE3" s="130">
        <v>2.212E9</v>
      </c>
      <c r="AF3" s="130">
        <v>3.787E9</v>
      </c>
      <c r="AG3" s="130">
        <v>5.7568E10</v>
      </c>
      <c r="AH3" s="130">
        <v>1.637E9</v>
      </c>
      <c r="AI3" s="130" t="s">
        <v>133</v>
      </c>
      <c r="AJ3" s="130" t="s">
        <v>129</v>
      </c>
      <c r="AK3" s="130" t="s">
        <v>134</v>
      </c>
      <c r="AL3" s="130">
        <v>1.977332314987183E11</v>
      </c>
      <c r="AM3" s="130">
        <v>1.961582314987183E11</v>
      </c>
      <c r="AN3" s="130">
        <v>120.7900009155273</v>
      </c>
      <c r="AO3" s="130">
        <v>7.668537192116279</v>
      </c>
      <c r="AP3" s="130">
        <v>82.21755987472693</v>
      </c>
      <c r="AQ3" s="130">
        <v>38.12599251675768</v>
      </c>
      <c r="AR3" s="130"/>
      <c r="AS3" s="130">
        <v>3.434776811748163</v>
      </c>
      <c r="AT3" s="130">
        <v>13.26059157793006</v>
      </c>
    </row>
    <row r="4">
      <c r="A4" s="130" t="s">
        <v>10</v>
      </c>
      <c r="B4" s="130">
        <v>2022.0</v>
      </c>
      <c r="C4" s="130">
        <v>2024.0</v>
      </c>
      <c r="D4" s="130">
        <v>0.126838091582286</v>
      </c>
      <c r="E4" s="130">
        <v>-0.2099133754854002</v>
      </c>
      <c r="F4" s="130">
        <v>-0.2098876936489352</v>
      </c>
      <c r="G4" s="130">
        <v>0.07693723792660712</v>
      </c>
      <c r="H4" s="130">
        <v>0.08772841365765638</v>
      </c>
      <c r="I4" s="130">
        <v>0.690719296372387</v>
      </c>
      <c r="J4" s="130">
        <v>0.315134834961146</v>
      </c>
      <c r="K4" s="130">
        <v>0.2031836483252788</v>
      </c>
      <c r="L4" s="130">
        <v>1.274378466221288</v>
      </c>
      <c r="M4" s="130">
        <v>0.07556004235327111</v>
      </c>
      <c r="N4" s="130">
        <v>0.1390523489629877</v>
      </c>
      <c r="O4" s="130">
        <v>0.1218558932570151</v>
      </c>
      <c r="P4" s="130">
        <v>0.8333707423076695</v>
      </c>
      <c r="Q4" s="130">
        <v>0.5205405904300583</v>
      </c>
      <c r="R4" s="130">
        <v>10.41062644284116</v>
      </c>
      <c r="S4" s="130">
        <v>4.139260254789635</v>
      </c>
      <c r="T4" s="130">
        <v>0.1906322051688076</v>
      </c>
      <c r="U4" s="130">
        <v>3.267595801522472</v>
      </c>
      <c r="V4" s="130">
        <v>1.44008391779661</v>
      </c>
      <c r="W4" s="130">
        <v>1.061838112850295</v>
      </c>
      <c r="X4" s="130">
        <v>0.5332339022477101</v>
      </c>
      <c r="Y4" s="130">
        <v>248.8076324462891</v>
      </c>
      <c r="Z4" s="130">
        <v>9.0</v>
      </c>
      <c r="AA4" s="130">
        <v>7.56</v>
      </c>
      <c r="AB4" s="130">
        <v>1.0394E10</v>
      </c>
      <c r="AC4" s="130">
        <v>3.3424E10</v>
      </c>
      <c r="AD4" s="130">
        <v>1.3356E10</v>
      </c>
      <c r="AE4" s="130">
        <v>6.0099E10</v>
      </c>
      <c r="AF4" s="130">
        <v>1.1973E10</v>
      </c>
      <c r="AG4" s="130">
        <v>5.877E9</v>
      </c>
      <c r="AH4" s="130">
        <v>5.41E8</v>
      </c>
      <c r="AI4" s="130" t="s">
        <v>153</v>
      </c>
      <c r="AJ4" s="130" t="s">
        <v>154</v>
      </c>
      <c r="AK4" s="130" t="s">
        <v>155</v>
      </c>
      <c r="AL4" s="130">
        <v>1.346049291534424E11</v>
      </c>
      <c r="AM4" s="130">
        <v>1.827309291534424E11</v>
      </c>
      <c r="AN4" s="130">
        <v>32.91106249289538</v>
      </c>
      <c r="AO4" s="130">
        <v>4.027193907175754</v>
      </c>
      <c r="AP4" s="130">
        <v>12.95025294914781</v>
      </c>
      <c r="AQ4" s="130">
        <v>13.6815610327525</v>
      </c>
      <c r="AR4" s="130">
        <v>0.03617252377473935</v>
      </c>
      <c r="AS4" s="130">
        <v>22.9036803051629</v>
      </c>
      <c r="AT4" s="130"/>
    </row>
    <row r="5">
      <c r="A5" s="130" t="s">
        <v>8</v>
      </c>
      <c r="B5" s="130">
        <v>2022.0</v>
      </c>
      <c r="C5" s="130">
        <v>2024.0</v>
      </c>
      <c r="D5" s="130">
        <v>0.1140944399933286</v>
      </c>
      <c r="E5" s="130"/>
      <c r="F5" s="130"/>
      <c r="G5" s="130"/>
      <c r="H5" s="130"/>
      <c r="I5" s="130">
        <v>0.4654727409482788</v>
      </c>
      <c r="J5" s="130">
        <v>0.0584189652078063</v>
      </c>
      <c r="K5" s="130">
        <v>0.04683603757580885</v>
      </c>
      <c r="L5" s="130">
        <v>0.1330520029409132</v>
      </c>
      <c r="M5" s="130">
        <v>0.05278100253169757</v>
      </c>
      <c r="N5" s="130">
        <v>0.09205719723946228</v>
      </c>
      <c r="O5" s="130"/>
      <c r="P5" s="130"/>
      <c r="Q5" s="130"/>
      <c r="R5" s="130">
        <v>0.6963091183142057</v>
      </c>
      <c r="S5" s="130">
        <v>13.60433676767202</v>
      </c>
      <c r="T5" s="130">
        <v>0.6150964147848056</v>
      </c>
      <c r="U5" s="130">
        <v>1.121781470282379</v>
      </c>
      <c r="V5" s="130">
        <v>1.017818535971129</v>
      </c>
      <c r="W5" s="130">
        <v>0.8131132662398061</v>
      </c>
      <c r="X5" s="130">
        <v>0.4102759278988102</v>
      </c>
      <c r="Y5" s="130">
        <v>219.3899993896484</v>
      </c>
      <c r="Z5" s="130"/>
      <c r="AA5" s="130">
        <v>5.53</v>
      </c>
      <c r="AB5" s="130">
        <v>3.2878E10</v>
      </c>
      <c r="AC5" s="130">
        <v>6.37959E11</v>
      </c>
      <c r="AD5" s="130">
        <v>1.23815E11</v>
      </c>
      <c r="AE5" s="130">
        <v>1.309E11</v>
      </c>
      <c r="AF5" s="130">
        <v>7.8779E10</v>
      </c>
      <c r="AG5" s="130">
        <v>2.8597E11</v>
      </c>
      <c r="AH5" s="130">
        <v>1.0721E10</v>
      </c>
      <c r="AI5" s="130" t="s">
        <v>137</v>
      </c>
      <c r="AJ5" s="130" t="s">
        <v>138</v>
      </c>
      <c r="AK5" s="130" t="s">
        <v>139</v>
      </c>
      <c r="AL5" s="130">
        <v>2.352080183456421E12</v>
      </c>
      <c r="AM5" s="130">
        <v>2.404201183456421E12</v>
      </c>
      <c r="AN5" s="130">
        <v>39.67269428384239</v>
      </c>
      <c r="AO5" s="130">
        <v>3.686882986926152</v>
      </c>
      <c r="AP5" s="130">
        <v>71.53963694435248</v>
      </c>
      <c r="AQ5" s="130">
        <v>19.41768916089667</v>
      </c>
      <c r="AR5" s="130"/>
      <c r="AS5" s="130">
        <v>8.22491933928881</v>
      </c>
      <c r="AT5" s="130"/>
    </row>
    <row r="6">
      <c r="A6" s="130" t="s">
        <v>17</v>
      </c>
      <c r="B6" s="130">
        <v>2022.0</v>
      </c>
      <c r="C6" s="130">
        <v>2024.0</v>
      </c>
      <c r="D6" s="130">
        <v>0.155348646455346</v>
      </c>
      <c r="E6" s="130">
        <v>0.1602817284666709</v>
      </c>
      <c r="F6" s="130">
        <v>0.09419467136454451</v>
      </c>
      <c r="G6" s="130">
        <v>0.005936554122329074</v>
      </c>
      <c r="H6" s="130">
        <v>0.1257272965888834</v>
      </c>
      <c r="I6" s="130">
        <v>0.510353867030574</v>
      </c>
      <c r="J6" s="130">
        <v>0.3228759930580273</v>
      </c>
      <c r="K6" s="130">
        <v>0.2726580294015222</v>
      </c>
      <c r="L6" s="130">
        <v>0.6056053323849965</v>
      </c>
      <c r="M6" s="130">
        <v>0.1771817779293645</v>
      </c>
      <c r="N6" s="130">
        <v>0.3923995418668418</v>
      </c>
      <c r="O6" s="130">
        <v>0.1647181921235</v>
      </c>
      <c r="P6" s="130">
        <v>0.3595557157993868</v>
      </c>
      <c r="Q6" s="130">
        <v>0.4501225773678576</v>
      </c>
      <c r="R6" s="130">
        <v>0.360513435342646</v>
      </c>
      <c r="S6" s="130">
        <v>74.76103049369988</v>
      </c>
      <c r="T6" s="130"/>
      <c r="U6" s="130">
        <v>-0.4855009076220158</v>
      </c>
      <c r="V6" s="130">
        <v>1.438122340541217</v>
      </c>
      <c r="W6" s="130">
        <v>0.9423360198845135</v>
      </c>
      <c r="X6" s="130">
        <v>0.489909853557623</v>
      </c>
      <c r="Y6" s="130">
        <v>684.1212158203125</v>
      </c>
      <c r="Z6" s="130">
        <v>6.713</v>
      </c>
      <c r="AA6" s="130">
        <v>19.24</v>
      </c>
      <c r="AB6" s="130">
        <v>9.0831E9</v>
      </c>
      <c r="AC6" s="130">
        <v>2.82629E10</v>
      </c>
      <c r="AD6" s="130">
        <v>1.01236E10</v>
      </c>
      <c r="AE6" s="130">
        <v>4.6876E9</v>
      </c>
      <c r="AF6" s="130">
        <v>1.27359E10</v>
      </c>
      <c r="AG6" s="130">
        <v>1.84768E10</v>
      </c>
      <c r="AH6" s="130">
        <v>3.936E8</v>
      </c>
      <c r="AI6" s="130" t="s">
        <v>135</v>
      </c>
      <c r="AJ6" s="130" t="s">
        <v>129</v>
      </c>
      <c r="AK6" s="130" t="s">
        <v>136</v>
      </c>
      <c r="AL6" s="130">
        <v>2.69270110546875E11</v>
      </c>
      <c r="AM6" s="130">
        <v>2.61221810546875E11</v>
      </c>
      <c r="AN6" s="130">
        <v>35.55723574949649</v>
      </c>
      <c r="AO6" s="130">
        <v>9.527334793912692</v>
      </c>
      <c r="AP6" s="130">
        <v>29.64517736751495</v>
      </c>
      <c r="AQ6" s="130">
        <v>25.80325284946807</v>
      </c>
      <c r="AR6" s="130">
        <v>0.009812588536595244</v>
      </c>
      <c r="AS6" s="130">
        <v>14.5734169632661</v>
      </c>
      <c r="AT6" s="130">
        <v>3.774867010458138</v>
      </c>
    </row>
    <row r="7">
      <c r="A7" s="130" t="s">
        <v>28</v>
      </c>
      <c r="B7" s="130">
        <v>2022.0</v>
      </c>
      <c r="C7" s="130">
        <v>2024.0</v>
      </c>
      <c r="D7" s="130">
        <v>0.0862886792599018</v>
      </c>
      <c r="E7" s="130">
        <v>-0.03029989048816339</v>
      </c>
      <c r="F7" s="130">
        <v>-0.03244110630620656</v>
      </c>
      <c r="G7" s="130">
        <v>0.1193485500372919</v>
      </c>
      <c r="H7" s="130">
        <v>-0.04547359772470505</v>
      </c>
      <c r="I7" s="130">
        <v>0.3597831692701371</v>
      </c>
      <c r="J7" s="130">
        <v>0.1193770537500323</v>
      </c>
      <c r="K7" s="130">
        <v>0.08254658654616238</v>
      </c>
      <c r="L7" s="130">
        <v>0.1970572704864194</v>
      </c>
      <c r="M7" s="130">
        <v>0.05180957791917384</v>
      </c>
      <c r="N7" s="130">
        <v>0.08969658371481364</v>
      </c>
      <c r="O7" s="130">
        <v>0.2397729826016108</v>
      </c>
      <c r="P7" s="130">
        <v>0.5505372198555533</v>
      </c>
      <c r="Q7" s="130">
        <v>0.3927381426073535</v>
      </c>
      <c r="R7" s="130">
        <v>1.45415714614415</v>
      </c>
      <c r="S7" s="130">
        <v>12.22633744855967</v>
      </c>
      <c r="T7" s="130">
        <v>0.254204101977383</v>
      </c>
      <c r="U7" s="130">
        <v>3.294810751633094</v>
      </c>
      <c r="V7" s="130">
        <v>0.8722720237064902</v>
      </c>
      <c r="W7" s="130">
        <v>0.681490426165646</v>
      </c>
      <c r="X7" s="130">
        <v>0.1921453554702121</v>
      </c>
      <c r="Y7" s="130">
        <v>74.04560852050781</v>
      </c>
      <c r="Z7" s="130">
        <v>2.13</v>
      </c>
      <c r="AA7" s="130">
        <v>3.08</v>
      </c>
      <c r="AB7" s="130">
        <v>2.122E9</v>
      </c>
      <c r="AC7" s="130">
        <v>2.0438E10</v>
      </c>
      <c r="AD7" s="130">
        <v>3.111E9</v>
      </c>
      <c r="AE7" s="130">
        <v>1.1331E10</v>
      </c>
      <c r="AF7" s="130">
        <v>1.563E9</v>
      </c>
      <c r="AG7" s="130">
        <v>8.489E9</v>
      </c>
      <c r="AH7" s="130">
        <v>4.61E8</v>
      </c>
      <c r="AI7" s="130" t="s">
        <v>168</v>
      </c>
      <c r="AJ7" s="130" t="s">
        <v>161</v>
      </c>
      <c r="AK7" s="130" t="s">
        <v>164</v>
      </c>
      <c r="AL7" s="130">
        <v>3.41350255279541E10</v>
      </c>
      <c r="AM7" s="130">
        <v>4.39030255279541E10</v>
      </c>
      <c r="AN7" s="130">
        <v>24.04078198717786</v>
      </c>
      <c r="AO7" s="130">
        <v>1.670174455815349</v>
      </c>
      <c r="AP7" s="130">
        <v>16.08625142693407</v>
      </c>
      <c r="AQ7" s="130">
        <v>14.11219078365609</v>
      </c>
      <c r="AR7" s="130">
        <v>0.02876605436242814</v>
      </c>
      <c r="AS7" s="130">
        <v>4.021089118618695</v>
      </c>
      <c r="AT7" s="130"/>
    </row>
    <row r="8">
      <c r="A8" s="130" t="s">
        <v>27</v>
      </c>
      <c r="B8" s="130">
        <v>2022.0</v>
      </c>
      <c r="C8" s="130">
        <v>2024.0</v>
      </c>
      <c r="D8" s="130">
        <v>0.009790655809884585</v>
      </c>
      <c r="E8" s="130">
        <v>0.002765710536363208</v>
      </c>
      <c r="F8" s="130">
        <v>0.0665860140837995</v>
      </c>
      <c r="G8" s="130"/>
      <c r="H8" s="130">
        <v>-0.2452469346973748</v>
      </c>
      <c r="I8" s="130">
        <v>0.5506428401285484</v>
      </c>
      <c r="J8" s="130">
        <v>0.2247005496665035</v>
      </c>
      <c r="K8" s="130">
        <v>0.0897664675103423</v>
      </c>
      <c r="L8" s="130">
        <v>0.4621826817160493</v>
      </c>
      <c r="M8" s="130">
        <v>0.0334747576558798</v>
      </c>
      <c r="N8" s="130">
        <v>0.0873489082418178</v>
      </c>
      <c r="O8" s="130">
        <v>0.2227963211555267</v>
      </c>
      <c r="P8" s="130"/>
      <c r="Q8" s="130"/>
      <c r="R8" s="130">
        <v>8.5684100415142</v>
      </c>
      <c r="S8" s="130">
        <v>2.46455234362648</v>
      </c>
      <c r="T8" s="130">
        <v>0.1501908169382384</v>
      </c>
      <c r="U8" s="130">
        <v>4.59609478693937</v>
      </c>
      <c r="V8" s="130">
        <v>0.3198420847876824</v>
      </c>
      <c r="W8" s="130">
        <v>0.3198420847876824</v>
      </c>
      <c r="X8" s="130">
        <v>0.04705031091316256</v>
      </c>
      <c r="Y8" s="130">
        <v>342.7699890136719</v>
      </c>
      <c r="Z8" s="130"/>
      <c r="AA8" s="130">
        <v>34.97</v>
      </c>
      <c r="AB8" s="130">
        <v>3.161E9</v>
      </c>
      <c r="AC8" s="130">
        <v>5.5085E10</v>
      </c>
      <c r="AD8" s="130">
        <v>2.1404E10</v>
      </c>
      <c r="AE8" s="130">
        <v>9.5763E10</v>
      </c>
      <c r="AF8" s="130">
        <v>4.59E8</v>
      </c>
      <c r="AG8" s="130">
        <v>1.5587E10</v>
      </c>
      <c r="AH8" s="130">
        <v>1.45363771E8</v>
      </c>
      <c r="AI8" s="130" t="s">
        <v>152</v>
      </c>
      <c r="AJ8" s="130" t="s">
        <v>145</v>
      </c>
      <c r="AK8" s="130" t="s">
        <v>151</v>
      </c>
      <c r="AL8" s="130">
        <v>4.982633818865591E10</v>
      </c>
      <c r="AM8" s="130">
        <v>1.451303381886559E11</v>
      </c>
      <c r="AN8" s="130">
        <v>9.80182982595573</v>
      </c>
      <c r="AO8" s="130">
        <v>0.9045355031071238</v>
      </c>
      <c r="AP8" s="130">
        <v>15.76284030011259</v>
      </c>
      <c r="AQ8" s="130">
        <v>6.780524116457481</v>
      </c>
      <c r="AR8" s="130"/>
      <c r="AS8" s="130">
        <v>3.196659921001855</v>
      </c>
      <c r="AT8" s="130">
        <v>1.472055349884734</v>
      </c>
    </row>
    <row r="9">
      <c r="A9" s="130" t="s">
        <v>11</v>
      </c>
      <c r="B9" s="130">
        <v>2022.0</v>
      </c>
      <c r="C9" s="130">
        <v>2024.0</v>
      </c>
      <c r="D9" s="130">
        <v>0.05885103887600462</v>
      </c>
      <c r="E9" s="130">
        <v>0.1227685299295385</v>
      </c>
      <c r="F9" s="130">
        <v>0.122619246495774</v>
      </c>
      <c r="G9" s="130">
        <v>0.1355167461566968</v>
      </c>
      <c r="H9" s="130">
        <v>0.3760301638085335</v>
      </c>
      <c r="I9" s="130">
        <v>0.1234057916867859</v>
      </c>
      <c r="J9" s="130">
        <v>0.03662387257909853</v>
      </c>
      <c r="K9" s="130">
        <v>0.02689029775551378</v>
      </c>
      <c r="L9" s="130">
        <v>0.287047884367105</v>
      </c>
      <c r="M9" s="130">
        <v>0.09723758203266412</v>
      </c>
      <c r="N9" s="130">
        <v>0.2266832420538422</v>
      </c>
      <c r="O9" s="130">
        <v>0.2492670194612231</v>
      </c>
      <c r="P9" s="130">
        <v>0.208322168023106</v>
      </c>
      <c r="Q9" s="130">
        <v>0.2673549050200158</v>
      </c>
      <c r="R9" s="130">
        <v>0.3794175932218897</v>
      </c>
      <c r="S9" s="130">
        <v>54.43237975307718</v>
      </c>
      <c r="T9" s="130">
        <v>1.150559060350709</v>
      </c>
      <c r="U9" s="130">
        <v>-0.2365652404641743</v>
      </c>
      <c r="V9" s="130">
        <v>1.018612366681118</v>
      </c>
      <c r="W9" s="130">
        <v>0.4915304085035943</v>
      </c>
      <c r="X9" s="130">
        <v>0.3353778959678073</v>
      </c>
      <c r="Y9" s="130">
        <v>908.9511108398438</v>
      </c>
      <c r="Z9" s="130">
        <v>4.5</v>
      </c>
      <c r="AA9" s="130">
        <v>16.56</v>
      </c>
      <c r="AB9" s="130">
        <v>6.629E9</v>
      </c>
      <c r="AC9" s="130">
        <v>2.54453E11</v>
      </c>
      <c r="AD9" s="130">
        <v>1.2146E10</v>
      </c>
      <c r="AE9" s="130">
        <v>8.169E9</v>
      </c>
      <c r="AF9" s="130">
        <v>9.906E9</v>
      </c>
      <c r="AG9" s="130">
        <v>2.3622E10</v>
      </c>
      <c r="AH9" s="130">
        <v>4.44759E8</v>
      </c>
      <c r="AI9" s="130" t="s">
        <v>160</v>
      </c>
      <c r="AJ9" s="130" t="s">
        <v>161</v>
      </c>
      <c r="AK9" s="130" t="s">
        <v>162</v>
      </c>
      <c r="AL9" s="130">
        <v>4.042641871060181E11</v>
      </c>
      <c r="AM9" s="130">
        <v>4.025271871060181E11</v>
      </c>
      <c r="AN9" s="130">
        <v>54.8883521038553</v>
      </c>
      <c r="AO9" s="130">
        <v>1.58875779458689</v>
      </c>
      <c r="AP9" s="130">
        <v>60.98418873223986</v>
      </c>
      <c r="AQ9" s="130">
        <v>33.14072016351211</v>
      </c>
      <c r="AR9" s="130">
        <v>0.004950761318551153</v>
      </c>
      <c r="AS9" s="130">
        <v>17.11388481525773</v>
      </c>
      <c r="AT9" s="130">
        <v>4.476324367704133</v>
      </c>
    </row>
    <row r="10">
      <c r="A10" s="130" t="s">
        <v>20</v>
      </c>
      <c r="B10" s="130">
        <v>2022.0</v>
      </c>
      <c r="C10" s="130">
        <v>2024.0</v>
      </c>
      <c r="D10" s="130">
        <v>0.02664191514601599</v>
      </c>
      <c r="E10" s="130">
        <v>-0.6766895969432183</v>
      </c>
      <c r="F10" s="130">
        <v>-0.676896913670568</v>
      </c>
      <c r="G10" s="130">
        <v>0.02703189850556509</v>
      </c>
      <c r="H10" s="130">
        <v>0.1113141659564216</v>
      </c>
      <c r="I10" s="130">
        <v>0.7785355369336454</v>
      </c>
      <c r="J10" s="130">
        <v>0.1977088389497807</v>
      </c>
      <c r="K10" s="130">
        <v>0.1313109498771483</v>
      </c>
      <c r="L10" s="130">
        <v>0.1653460422978341</v>
      </c>
      <c r="M10" s="130">
        <v>0.0570144928258113</v>
      </c>
      <c r="N10" s="130">
        <v>0.0909006314799219</v>
      </c>
      <c r="O10" s="130">
        <v>0.2340854373490195</v>
      </c>
      <c r="P10" s="130">
        <v>3.214194428982494</v>
      </c>
      <c r="Q10" s="130">
        <v>0.4459959847462078</v>
      </c>
      <c r="R10" s="130">
        <v>1.221343982598951</v>
      </c>
      <c r="S10" s="130">
        <v>5.730105083852069</v>
      </c>
      <c r="T10" s="130">
        <v>0.3617848706344088</v>
      </c>
      <c r="U10" s="130">
        <v>2.603518045244356</v>
      </c>
      <c r="V10" s="130">
        <v>1.436128622098996</v>
      </c>
      <c r="W10" s="130">
        <v>1.291137590199149</v>
      </c>
      <c r="X10" s="130">
        <v>0.6177788683399285</v>
      </c>
      <c r="Y10" s="130">
        <v>89.3504638671875</v>
      </c>
      <c r="Z10" s="130">
        <v>3.08</v>
      </c>
      <c r="AA10" s="130">
        <v>0.38</v>
      </c>
      <c r="AB10" s="130">
        <v>1.0305E10</v>
      </c>
      <c r="AC10" s="130">
        <v>2.8754E10</v>
      </c>
      <c r="AD10" s="130">
        <v>4.434E9</v>
      </c>
      <c r="AE10" s="130">
        <v>2.6711E10</v>
      </c>
      <c r="AF10" s="130">
        <v>9.991E9</v>
      </c>
      <c r="AG10" s="130">
        <v>1.933E10</v>
      </c>
      <c r="AH10" s="130">
        <v>1.255E9</v>
      </c>
      <c r="AI10" s="130" t="s">
        <v>156</v>
      </c>
      <c r="AJ10" s="130" t="s">
        <v>154</v>
      </c>
      <c r="AK10" s="130" t="s">
        <v>155</v>
      </c>
      <c r="AL10" s="130">
        <v>1.121348321533203E11</v>
      </c>
      <c r="AM10" s="130">
        <v>1.288548321533203E11</v>
      </c>
      <c r="AN10" s="130">
        <v>235.1327996504934</v>
      </c>
      <c r="AO10" s="130">
        <v>3.899799407154494</v>
      </c>
      <c r="AP10" s="130">
        <v>10.88159458062303</v>
      </c>
      <c r="AQ10" s="130">
        <v>29.06062971432574</v>
      </c>
      <c r="AR10" s="130">
        <v>0.03447100179108393</v>
      </c>
      <c r="AS10" s="130">
        <v>5.801077710983979</v>
      </c>
      <c r="AT10" s="130"/>
    </row>
    <row r="11">
      <c r="A11" s="130" t="s">
        <v>9</v>
      </c>
      <c r="B11" s="130">
        <v>2022.0</v>
      </c>
      <c r="C11" s="130">
        <v>2024.0</v>
      </c>
      <c r="D11" s="130">
        <v>0.1124432012334504</v>
      </c>
      <c r="E11" s="130">
        <v>0.2920574261424334</v>
      </c>
      <c r="F11" s="130">
        <v>0.3278395591097751</v>
      </c>
      <c r="G11" s="130"/>
      <c r="H11" s="130">
        <v>0.1011499647153127</v>
      </c>
      <c r="I11" s="130">
        <v>0.5673497529799424</v>
      </c>
      <c r="J11" s="130">
        <v>0.2921266572742671</v>
      </c>
      <c r="K11" s="130">
        <v>0.2460470947035482</v>
      </c>
      <c r="L11" s="130">
        <v>0.2789251016116239</v>
      </c>
      <c r="M11" s="130">
        <v>0.1970962861643647</v>
      </c>
      <c r="N11" s="130">
        <v>0.2578549956115626</v>
      </c>
      <c r="O11" s="130">
        <v>0.1542296232819437</v>
      </c>
      <c r="P11" s="130">
        <v>0.02451440633385938</v>
      </c>
      <c r="Q11" s="130">
        <v>0.03373004965825591</v>
      </c>
      <c r="R11" s="130">
        <v>0.09367156085228841</v>
      </c>
      <c r="S11" s="130">
        <v>309.3903876340224</v>
      </c>
      <c r="T11" s="130">
        <v>4.128322169601105</v>
      </c>
      <c r="U11" s="130">
        <v>0.03879018064277675</v>
      </c>
      <c r="V11" s="130">
        <v>2.103836853989315</v>
      </c>
      <c r="W11" s="130">
        <v>2.070129496465432</v>
      </c>
      <c r="X11" s="130">
        <v>0.2909837665299196</v>
      </c>
      <c r="Y11" s="130">
        <v>188.4288635253906</v>
      </c>
      <c r="Z11" s="130">
        <v>0.6000000000000001</v>
      </c>
      <c r="AA11" s="130">
        <v>8.04</v>
      </c>
      <c r="AB11" s="130">
        <v>7.2764E10</v>
      </c>
      <c r="AC11" s="130">
        <v>3.50018E11</v>
      </c>
      <c r="AD11" s="130">
        <v>1.35394E11</v>
      </c>
      <c r="AE11" s="130">
        <v>2.2574E10</v>
      </c>
      <c r="AF11" s="130">
        <v>2.3466E10</v>
      </c>
      <c r="AG11" s="130">
        <v>3.25084E11</v>
      </c>
      <c r="AH11" s="130">
        <v>1.2447E10</v>
      </c>
      <c r="AI11" s="130" t="s">
        <v>144</v>
      </c>
      <c r="AJ11" s="130" t="s">
        <v>145</v>
      </c>
      <c r="AK11" s="130" t="s">
        <v>146</v>
      </c>
      <c r="AL11" s="130">
        <v>2.345374064300537E12</v>
      </c>
      <c r="AM11" s="130">
        <v>2.344482064300537E12</v>
      </c>
      <c r="AN11" s="130">
        <v>23.43642581161575</v>
      </c>
      <c r="AO11" s="130">
        <v>6.700724146474002</v>
      </c>
      <c r="AP11" s="130">
        <v>32.23261591309628</v>
      </c>
      <c r="AQ11" s="130">
        <v>17.31599675244499</v>
      </c>
      <c r="AR11" s="130">
        <v>0.003184225541535204</v>
      </c>
      <c r="AS11" s="130">
        <v>7.214670867531275</v>
      </c>
      <c r="AT11" s="130">
        <v>0.7148748575448214</v>
      </c>
    </row>
    <row r="12">
      <c r="A12" s="130" t="s">
        <v>26</v>
      </c>
      <c r="B12" s="130">
        <v>2022.0</v>
      </c>
      <c r="C12" s="130">
        <v>2024.0</v>
      </c>
      <c r="D12" s="130">
        <v>0.04501377073910362</v>
      </c>
      <c r="E12" s="130">
        <v>0.001739434259437456</v>
      </c>
      <c r="F12" s="130">
        <v>0.01960970983805344</v>
      </c>
      <c r="G12" s="130">
        <v>0.07018127348369507</v>
      </c>
      <c r="H12" s="130">
        <v>-0.1939508602929613</v>
      </c>
      <c r="I12" s="130">
        <v>0.5406597995307499</v>
      </c>
      <c r="J12" s="130">
        <v>0.1879129117089667</v>
      </c>
      <c r="K12" s="130">
        <v>0.1144170711001099</v>
      </c>
      <c r="L12" s="130">
        <v>0.06691608125852005</v>
      </c>
      <c r="M12" s="130">
        <v>0.0323199497638787</v>
      </c>
      <c r="N12" s="130">
        <v>0.05686860571706872</v>
      </c>
      <c r="O12" s="130">
        <v>0.2070871705480664</v>
      </c>
      <c r="P12" s="130">
        <v>0.6894024542529813</v>
      </c>
      <c r="Q12" s="130">
        <v>0.8337235065048437</v>
      </c>
      <c r="R12" s="130">
        <v>0.5865103860470603</v>
      </c>
      <c r="S12" s="130">
        <v>4.547689618369342</v>
      </c>
      <c r="T12" s="130">
        <v>0.1470600678139378</v>
      </c>
      <c r="U12" s="130">
        <v>4.097649552762576</v>
      </c>
      <c r="V12" s="130">
        <v>0.4479360884571749</v>
      </c>
      <c r="W12" s="130">
        <v>0.2974638149624244</v>
      </c>
      <c r="X12" s="130">
        <v>0.05308533581496041</v>
      </c>
      <c r="Y12" s="130">
        <v>30.64525413513184</v>
      </c>
      <c r="Z12" s="130">
        <v>0.875</v>
      </c>
      <c r="AA12" s="130">
        <v>1.05</v>
      </c>
      <c r="AB12" s="130">
        <v>1.597E9</v>
      </c>
      <c r="AC12" s="130">
        <v>1.5351E10</v>
      </c>
      <c r="AD12" s="130">
        <v>3.382E9</v>
      </c>
      <c r="AE12" s="130">
        <v>1.5554E10</v>
      </c>
      <c r="AF12" s="130">
        <v>5.1E8</v>
      </c>
      <c r="AG12" s="130">
        <v>2.4243E10</v>
      </c>
      <c r="AH12" s="130">
        <v>1.3683E9</v>
      </c>
      <c r="AI12" s="130" t="s">
        <v>167</v>
      </c>
      <c r="AJ12" s="130" t="s">
        <v>161</v>
      </c>
      <c r="AK12" s="130" t="s">
        <v>164</v>
      </c>
      <c r="AL12" s="130">
        <v>4.193190123310089E10</v>
      </c>
      <c r="AM12" s="130">
        <v>5.697590123310089E10</v>
      </c>
      <c r="AN12" s="130">
        <v>29.18595631917318</v>
      </c>
      <c r="AO12" s="130">
        <v>2.731541999420291</v>
      </c>
      <c r="AP12" s="130">
        <v>26.2566695260494</v>
      </c>
      <c r="AQ12" s="130">
        <v>16.84680698790683</v>
      </c>
      <c r="AR12" s="130">
        <v>0.02855254507408038</v>
      </c>
      <c r="AS12" s="130">
        <v>1.729649846681553</v>
      </c>
      <c r="AT12" s="130">
        <v>14.88342079521067</v>
      </c>
    </row>
    <row r="13">
      <c r="A13" s="130" t="s">
        <v>21</v>
      </c>
      <c r="B13" s="130">
        <v>2022.0</v>
      </c>
      <c r="C13" s="130">
        <v>2024.0</v>
      </c>
      <c r="D13" s="130">
        <v>0.0756412338731387</v>
      </c>
      <c r="E13" s="130">
        <v>0.3027249829886995</v>
      </c>
      <c r="F13" s="130">
        <v>0.3209458577790665</v>
      </c>
      <c r="G13" s="130">
        <v>0.1034885929768063</v>
      </c>
      <c r="H13" s="130">
        <v>0.08330557370607639</v>
      </c>
      <c r="I13" s="130">
        <v>0.3775184494780692</v>
      </c>
      <c r="J13" s="130">
        <v>0.1601207692577908</v>
      </c>
      <c r="K13" s="130">
        <v>0.1168290093029344</v>
      </c>
      <c r="L13" s="130">
        <v>0.1491881446546734</v>
      </c>
      <c r="M13" s="130">
        <v>0.05789326846649975</v>
      </c>
      <c r="N13" s="130">
        <v>0.08971872451059608</v>
      </c>
      <c r="O13" s="130">
        <v>0.2546631320374005</v>
      </c>
      <c r="P13" s="130">
        <v>0.5585302847912854</v>
      </c>
      <c r="Q13" s="130">
        <v>0.6425513280600614</v>
      </c>
      <c r="R13" s="130">
        <v>0.7527745572895798</v>
      </c>
      <c r="S13" s="130">
        <v>11.18592277176058</v>
      </c>
      <c r="T13" s="130">
        <v>0.2234260850125198</v>
      </c>
      <c r="U13" s="130">
        <v>3.000015906728494</v>
      </c>
      <c r="V13" s="130">
        <v>0.6320109771690722</v>
      </c>
      <c r="W13" s="130">
        <v>0.4360184680384308</v>
      </c>
      <c r="X13" s="130">
        <v>0.09308092080085566</v>
      </c>
      <c r="Y13" s="130">
        <v>57.40383148193359</v>
      </c>
      <c r="Z13" s="130">
        <v>1.79</v>
      </c>
      <c r="AA13" s="130">
        <v>3.42</v>
      </c>
      <c r="AB13" s="130">
        <v>3.523E9</v>
      </c>
      <c r="AC13" s="130">
        <v>3.6441E10</v>
      </c>
      <c r="AD13" s="130">
        <v>8.071E9</v>
      </c>
      <c r="AE13" s="130">
        <v>1.8372E10</v>
      </c>
      <c r="AF13" s="130">
        <v>1.351E9</v>
      </c>
      <c r="AG13" s="130">
        <v>2.6932E10</v>
      </c>
      <c r="AH13" s="130">
        <v>1.347E9</v>
      </c>
      <c r="AI13" s="130" t="s">
        <v>165</v>
      </c>
      <c r="AJ13" s="130" t="s">
        <v>161</v>
      </c>
      <c r="AK13" s="130" t="s">
        <v>166</v>
      </c>
      <c r="AL13" s="130">
        <v>7.732296100616455E10</v>
      </c>
      <c r="AM13" s="130">
        <v>9.434396100616455E10</v>
      </c>
      <c r="AN13" s="130">
        <v>16.784746047349</v>
      </c>
      <c r="AO13" s="130">
        <v>2.121867155296632</v>
      </c>
      <c r="AP13" s="130">
        <v>21.9480445660416</v>
      </c>
      <c r="AQ13" s="130">
        <v>11.6892530053481</v>
      </c>
      <c r="AR13" s="130">
        <v>0.03118258753448117</v>
      </c>
      <c r="AS13" s="130">
        <v>2.871044148454053</v>
      </c>
      <c r="AT13" s="130">
        <v>0.5229774941947788</v>
      </c>
    </row>
    <row r="14">
      <c r="A14" s="130" t="s">
        <v>13</v>
      </c>
      <c r="B14" s="130">
        <v>2022.0</v>
      </c>
      <c r="C14" s="130">
        <v>2024.0</v>
      </c>
      <c r="D14" s="130">
        <v>0.3882958948477828</v>
      </c>
      <c r="E14" s="130">
        <v>0.9911630496914188</v>
      </c>
      <c r="F14" s="130">
        <v>0.988687840873101</v>
      </c>
      <c r="G14" s="130"/>
      <c r="H14" s="130">
        <v>0.6853015898325596</v>
      </c>
      <c r="I14" s="130">
        <v>0.4818492420157408</v>
      </c>
      <c r="J14" s="130">
        <v>0.108063751976658</v>
      </c>
      <c r="K14" s="130">
        <v>0.06734102886184612</v>
      </c>
      <c r="L14" s="130">
        <v>0.3939325499314297</v>
      </c>
      <c r="M14" s="130">
        <v>0.06244772509813242</v>
      </c>
      <c r="N14" s="130">
        <v>0.1463084335203846</v>
      </c>
      <c r="O14" s="130">
        <v>0.3208886308558103</v>
      </c>
      <c r="P14" s="130">
        <v>0.0</v>
      </c>
      <c r="Q14" s="130">
        <v>0.0</v>
      </c>
      <c r="R14" s="130">
        <v>2.091415492348494</v>
      </c>
      <c r="S14" s="130">
        <v>10.81415302449785</v>
      </c>
      <c r="T14" s="130">
        <v>0.8875864062499218</v>
      </c>
      <c r="U14" s="130">
        <v>1.734565808572503</v>
      </c>
      <c r="V14" s="130">
        <v>1.252834649149631</v>
      </c>
      <c r="W14" s="130">
        <v>1.233930615086908</v>
      </c>
      <c r="X14" s="130">
        <v>0.2029075795467266</v>
      </c>
      <c r="Y14" s="130">
        <v>1700.43994140625</v>
      </c>
      <c r="Z14" s="130">
        <v>0.0</v>
      </c>
      <c r="AA14" s="130">
        <v>37.69</v>
      </c>
      <c r="AB14" s="130">
        <v>7.058E9</v>
      </c>
      <c r="AC14" s="130">
        <v>2.0777E10</v>
      </c>
      <c r="AD14" s="130">
        <v>3.214E9</v>
      </c>
      <c r="AE14" s="130">
        <v>6.85E9</v>
      </c>
      <c r="AF14" s="130">
        <v>2.635E9</v>
      </c>
      <c r="AG14" s="130">
        <v>4.351E9</v>
      </c>
      <c r="AH14" s="130">
        <v>5.0697428E7</v>
      </c>
      <c r="AI14" s="130" t="s">
        <v>142</v>
      </c>
      <c r="AJ14" s="130" t="s">
        <v>138</v>
      </c>
      <c r="AK14" s="130" t="s">
        <v>139</v>
      </c>
      <c r="AL14" s="130">
        <v>8.620793149776758E10</v>
      </c>
      <c r="AM14" s="130">
        <v>9.042293149776758E10</v>
      </c>
      <c r="AN14" s="130">
        <v>45.11647496434731</v>
      </c>
      <c r="AO14" s="130">
        <v>4.149200149095999</v>
      </c>
      <c r="AP14" s="130">
        <v>12.21421528730059</v>
      </c>
      <c r="AQ14" s="130">
        <v>28.1340794952606</v>
      </c>
      <c r="AR14" s="130">
        <v>0.0</v>
      </c>
      <c r="AS14" s="130">
        <v>19.81336049132787</v>
      </c>
      <c r="AT14" s="130">
        <v>0.4563267909161842</v>
      </c>
    </row>
    <row r="15">
      <c r="A15" s="130" t="s">
        <v>14</v>
      </c>
      <c r="B15" s="130">
        <v>2022.0</v>
      </c>
      <c r="C15" s="130">
        <v>2024.0</v>
      </c>
      <c r="D15" s="130">
        <v>0.1877313935329832</v>
      </c>
      <c r="E15" s="130">
        <v>0.6394910900894699</v>
      </c>
      <c r="F15" s="130">
        <v>0.6666278614031154</v>
      </c>
      <c r="G15" s="130"/>
      <c r="H15" s="130">
        <v>0.6742926093172579</v>
      </c>
      <c r="I15" s="130">
        <v>0.8025653221696549</v>
      </c>
      <c r="J15" s="130">
        <v>0.3458382242892077</v>
      </c>
      <c r="K15" s="130">
        <v>0.2892888438600457</v>
      </c>
      <c r="L15" s="130">
        <v>0.2787817871477007</v>
      </c>
      <c r="M15" s="130">
        <v>0.1866064989547503</v>
      </c>
      <c r="N15" s="130">
        <v>0.2333584306620532</v>
      </c>
      <c r="O15" s="130">
        <v>0.1627038543204223</v>
      </c>
      <c r="P15" s="130">
        <v>0.02711139619414155</v>
      </c>
      <c r="Q15" s="130">
        <v>0.03126695270503526</v>
      </c>
      <c r="R15" s="130">
        <v>0.2410781006863484</v>
      </c>
      <c r="S15" s="130">
        <v>121.3161853942123</v>
      </c>
      <c r="T15" s="130">
        <v>1.889883366059085</v>
      </c>
      <c r="U15" s="130">
        <v>0.0990496503468324</v>
      </c>
      <c r="V15" s="130">
        <v>2.617425331585006</v>
      </c>
      <c r="W15" s="130">
        <v>2.617425331585006</v>
      </c>
      <c r="X15" s="130">
        <v>1.053139394088519</v>
      </c>
      <c r="Y15" s="130">
        <v>583.170166015625</v>
      </c>
      <c r="Z15" s="130">
        <v>2.0</v>
      </c>
      <c r="AA15" s="130">
        <v>23.86</v>
      </c>
      <c r="AB15" s="130">
        <v>5.4072E10</v>
      </c>
      <c r="AC15" s="130">
        <v>1.64501E11</v>
      </c>
      <c r="AD15" s="130">
        <v>8.6876E10</v>
      </c>
      <c r="AE15" s="130">
        <v>4.906E10</v>
      </c>
      <c r="AF15" s="130">
        <v>4.3889E10</v>
      </c>
      <c r="AG15" s="130">
        <v>1.82637E11</v>
      </c>
      <c r="AH15" s="130">
        <v>2.614E9</v>
      </c>
      <c r="AI15" s="130" t="s">
        <v>147</v>
      </c>
      <c r="AJ15" s="130" t="s">
        <v>145</v>
      </c>
      <c r="AK15" s="130" t="s">
        <v>146</v>
      </c>
      <c r="AL15" s="130">
        <v>1.524406813964844E12</v>
      </c>
      <c r="AM15" s="130">
        <v>1.529577813964844E12</v>
      </c>
      <c r="AN15" s="130">
        <v>24.44133135019384</v>
      </c>
      <c r="AO15" s="130">
        <v>9.266854389729204</v>
      </c>
      <c r="AP15" s="130">
        <v>28.19216625915157</v>
      </c>
      <c r="AQ15" s="130">
        <v>17.60644843184359</v>
      </c>
      <c r="AR15" s="130">
        <v>0.003429530721135027</v>
      </c>
      <c r="AS15" s="130">
        <v>8.346648345980517</v>
      </c>
      <c r="AT15" s="130">
        <v>0.3666413116719999</v>
      </c>
    </row>
    <row r="16">
      <c r="A16" s="130" t="s">
        <v>12</v>
      </c>
      <c r="B16" s="130">
        <v>2022.0</v>
      </c>
      <c r="C16" s="130">
        <v>2024.0</v>
      </c>
      <c r="D16" s="130">
        <v>0.11189209452099</v>
      </c>
      <c r="E16" s="130">
        <v>0.1007684931614179</v>
      </c>
      <c r="F16" s="130">
        <v>0.1058019386224371</v>
      </c>
      <c r="G16" s="130">
        <v>0.1011804689499585</v>
      </c>
      <c r="H16" s="130">
        <v>0.06627745563535181</v>
      </c>
      <c r="I16" s="130">
        <v>0.6902873473191716</v>
      </c>
      <c r="J16" s="130">
        <v>0.4383576450408697</v>
      </c>
      <c r="K16" s="130">
        <v>0.3559618254530528</v>
      </c>
      <c r="L16" s="130">
        <v>0.3987758018272886</v>
      </c>
      <c r="M16" s="130">
        <v>0.1921376578591688</v>
      </c>
      <c r="N16" s="130">
        <v>0.3063823789079077</v>
      </c>
      <c r="O16" s="130">
        <v>0.1677444506494708</v>
      </c>
      <c r="P16" s="130">
        <v>0.2566545033339946</v>
      </c>
      <c r="Q16" s="130">
        <v>0.3017318650715782</v>
      </c>
      <c r="R16" s="130">
        <v>0.3029005038278037</v>
      </c>
      <c r="S16" s="130">
        <v>41.89534860342201</v>
      </c>
      <c r="T16" s="130">
        <v>1.559911911459495</v>
      </c>
      <c r="U16" s="130">
        <v>0.3598348619312268</v>
      </c>
      <c r="V16" s="130">
        <v>1.609576374924145</v>
      </c>
      <c r="W16" s="130">
        <v>1.585141434910886</v>
      </c>
      <c r="X16" s="130">
        <v>0.2086386932982918</v>
      </c>
      <c r="Y16" s="130">
        <v>416.5583801269531</v>
      </c>
      <c r="Z16" s="130">
        <v>3.08</v>
      </c>
      <c r="AA16" s="130">
        <v>11.8</v>
      </c>
      <c r="AB16" s="130">
        <v>7.4071E10</v>
      </c>
      <c r="AC16" s="130">
        <v>2.45122E11</v>
      </c>
      <c r="AD16" s="130">
        <v>1.33009E11</v>
      </c>
      <c r="AE16" s="130">
        <v>6.7127E10</v>
      </c>
      <c r="AF16" s="130">
        <v>1.8315E10</v>
      </c>
      <c r="AG16" s="130">
        <v>2.68477E11</v>
      </c>
      <c r="AH16" s="130">
        <v>7.469E9</v>
      </c>
      <c r="AI16" s="130" t="s">
        <v>131</v>
      </c>
      <c r="AJ16" s="130" t="s">
        <v>129</v>
      </c>
      <c r="AK16" s="130" t="s">
        <v>132</v>
      </c>
      <c r="AL16" s="130">
        <v>3.111274541168213E12</v>
      </c>
      <c r="AM16" s="130">
        <v>3.160086541168213E12</v>
      </c>
      <c r="AN16" s="130">
        <v>35.30155763787738</v>
      </c>
      <c r="AO16" s="130">
        <v>12.69275928381872</v>
      </c>
      <c r="AP16" s="130">
        <v>42.00394946967386</v>
      </c>
      <c r="AQ16" s="130">
        <v>23.75844146763161</v>
      </c>
      <c r="AR16" s="130">
        <v>0.007393921589241149</v>
      </c>
      <c r="AS16" s="130">
        <v>11.58860737109031</v>
      </c>
      <c r="AT16" s="130">
        <v>3.33657001918026</v>
      </c>
    </row>
    <row r="17">
      <c r="A17" s="130" t="s">
        <v>19</v>
      </c>
      <c r="B17" s="130">
        <v>2022.0</v>
      </c>
      <c r="C17" s="130">
        <v>2024.0</v>
      </c>
      <c r="D17" s="130">
        <v>0.1106758050564143</v>
      </c>
      <c r="E17" s="130">
        <v>0.3926229116218403</v>
      </c>
      <c r="F17" s="130">
        <v>0.4117240608988015</v>
      </c>
      <c r="G17" s="130"/>
      <c r="H17" s="130">
        <v>1.06799855256351</v>
      </c>
      <c r="I17" s="130">
        <v>0.4232170048076336</v>
      </c>
      <c r="J17" s="130">
        <v>0.2229984020133126</v>
      </c>
      <c r="K17" s="130">
        <v>0.1752709398396355</v>
      </c>
      <c r="L17" s="130">
        <v>0.2873379523093239</v>
      </c>
      <c r="M17" s="130">
        <v>0.1245928524319827</v>
      </c>
      <c r="N17" s="130">
        <v>0.1830440559090037</v>
      </c>
      <c r="O17" s="130">
        <v>0.1336658379805149</v>
      </c>
      <c r="P17" s="130"/>
      <c r="Q17" s="130"/>
      <c r="R17" s="130">
        <v>0.675652836600647</v>
      </c>
      <c r="S17" s="130">
        <v>10.86957021308474</v>
      </c>
      <c r="T17" s="130">
        <v>0.3712529943712609</v>
      </c>
      <c r="U17" s="130">
        <v>0.3645373417432125</v>
      </c>
      <c r="V17" s="130">
        <v>1.168587900655661</v>
      </c>
      <c r="W17" s="130">
        <v>1.168587900655661</v>
      </c>
      <c r="X17" s="130">
        <v>0.7259526011013023</v>
      </c>
      <c r="Y17" s="130">
        <v>89.13200378417969</v>
      </c>
      <c r="Z17" s="130"/>
      <c r="AA17" s="130">
        <v>1.983</v>
      </c>
      <c r="AB17" s="130">
        <v>6.921826E9</v>
      </c>
      <c r="AC17" s="130">
        <v>3.9000966E10</v>
      </c>
      <c r="AD17" s="130">
        <v>2.6314821E10</v>
      </c>
      <c r="AE17" s="130">
        <v>1.5582804E10</v>
      </c>
      <c r="AF17" s="130">
        <v>7.804733E9</v>
      </c>
      <c r="AG17" s="130">
        <v>2.4743567E10</v>
      </c>
      <c r="AH17" s="130">
        <v>4.39261E9</v>
      </c>
      <c r="AI17" s="130" t="s">
        <v>148</v>
      </c>
      <c r="AJ17" s="130" t="s">
        <v>145</v>
      </c>
      <c r="AK17" s="130" t="s">
        <v>149</v>
      </c>
      <c r="AL17" s="130">
        <v>3.915221311424255E11</v>
      </c>
      <c r="AM17" s="130">
        <v>3.993002021424255E11</v>
      </c>
      <c r="AN17" s="130">
        <v>44.94806040553691</v>
      </c>
      <c r="AO17" s="130">
        <v>10.03878035078479</v>
      </c>
      <c r="AP17" s="130">
        <v>56.56341710156042</v>
      </c>
      <c r="AQ17" s="130">
        <v>15.17396611371309</v>
      </c>
      <c r="AR17" s="130"/>
      <c r="AS17" s="130">
        <v>15.82318875618966</v>
      </c>
      <c r="AT17" s="130">
        <v>1.091703513936359</v>
      </c>
    </row>
    <row r="18">
      <c r="A18" s="130" t="s">
        <v>23</v>
      </c>
      <c r="B18" s="130">
        <v>2022.0</v>
      </c>
      <c r="C18" s="130">
        <v>2024.0</v>
      </c>
      <c r="D18" s="130">
        <v>0.7368275473264776</v>
      </c>
      <c r="E18" s="130">
        <v>0.8881318505192493</v>
      </c>
      <c r="F18" s="130">
        <v>0.8620293458137369</v>
      </c>
      <c r="G18" s="130"/>
      <c r="H18" s="130">
        <v>0.5895833992577129</v>
      </c>
      <c r="I18" s="130">
        <v>0.6659504353385742</v>
      </c>
      <c r="J18" s="130">
        <v>0.3022301581757511</v>
      </c>
      <c r="K18" s="130">
        <v>0.2564816907042347</v>
      </c>
      <c r="L18" s="130">
        <v>0.3702105907962407</v>
      </c>
      <c r="M18" s="130">
        <v>0.2005802624785698</v>
      </c>
      <c r="N18" s="130">
        <v>0.300692358297379</v>
      </c>
      <c r="O18" s="130">
        <v>0.1491189979916198</v>
      </c>
      <c r="P18" s="130"/>
      <c r="Q18" s="130"/>
      <c r="R18" s="130">
        <v>0.07731269907251165</v>
      </c>
      <c r="S18" s="130">
        <v>1170.594387301453</v>
      </c>
      <c r="T18" s="130">
        <v>7.874025405604823</v>
      </c>
      <c r="U18" s="130">
        <v>-0.4881528167616522</v>
      </c>
      <c r="V18" s="130">
        <v>1.995613627148568</v>
      </c>
      <c r="W18" s="130">
        <v>1.995613627148568</v>
      </c>
      <c r="X18" s="130">
        <v>0.3304392569136831</v>
      </c>
      <c r="Y18" s="130">
        <v>96.98999786376953</v>
      </c>
      <c r="Z18" s="130"/>
      <c r="AA18" s="130">
        <v>76.0</v>
      </c>
      <c r="AB18" s="130">
        <v>1.20962155E11</v>
      </c>
      <c r="AC18" s="130">
        <v>3.93836097E11</v>
      </c>
      <c r="AD18" s="130">
        <v>1.35324955E11</v>
      </c>
      <c r="AE18" s="130">
        <v>1.060714E10</v>
      </c>
      <c r="AF18" s="130">
        <v>5.7768053E10</v>
      </c>
      <c r="AG18" s="130">
        <v>3.13313124E11</v>
      </c>
      <c r="AH18" s="130">
        <v>1.479148E9</v>
      </c>
      <c r="AI18" s="130" t="s">
        <v>143</v>
      </c>
      <c r="AJ18" s="130" t="s">
        <v>138</v>
      </c>
      <c r="AK18" s="130" t="s">
        <v>139</v>
      </c>
      <c r="AL18" s="130">
        <v>1.43462561360199E11</v>
      </c>
      <c r="AM18" s="130">
        <v>9.630164836019897E10</v>
      </c>
      <c r="AN18" s="130">
        <v>1.27618418241802</v>
      </c>
      <c r="AO18" s="130">
        <v>0.3642697113164794</v>
      </c>
      <c r="AP18" s="130">
        <v>1.186011950268239</v>
      </c>
      <c r="AQ18" s="130">
        <v>0.7116325910487018</v>
      </c>
      <c r="AR18" s="130"/>
      <c r="AS18" s="130">
        <v>0.457888771235127</v>
      </c>
      <c r="AT18" s="130">
        <v>0.01480441691011493</v>
      </c>
    </row>
    <row r="19">
      <c r="A19" s="130" t="s">
        <v>16</v>
      </c>
      <c r="B19" s="130">
        <v>2022.0</v>
      </c>
      <c r="C19" s="130">
        <v>2024.0</v>
      </c>
      <c r="D19" s="130">
        <v>0.0311272698437508</v>
      </c>
      <c r="E19" s="130">
        <v>0.03680853663470973</v>
      </c>
      <c r="F19" s="130">
        <v>0.04045880126699708</v>
      </c>
      <c r="G19" s="130">
        <v>0.08531126986048942</v>
      </c>
      <c r="H19" s="130">
        <v>0.1326224835404206</v>
      </c>
      <c r="I19" s="130">
        <v>0.5393351938290372</v>
      </c>
      <c r="J19" s="130">
        <v>0.1362031318017387</v>
      </c>
      <c r="K19" s="130">
        <v>0.1022031877795713</v>
      </c>
      <c r="L19" s="130">
        <v>0.5175951972836567</v>
      </c>
      <c r="M19" s="130">
        <v>0.09554528305316361</v>
      </c>
      <c r="N19" s="130">
        <v>0.1655633834663517</v>
      </c>
      <c r="O19" s="130">
        <v>0.1845531170515205</v>
      </c>
      <c r="P19" s="130">
        <v>0.7279483268928663</v>
      </c>
      <c r="Q19" s="130">
        <v>0.9833937365538877</v>
      </c>
      <c r="R19" s="130">
        <v>2.40388101403513</v>
      </c>
      <c r="S19" s="130">
        <v>13.77983626199321</v>
      </c>
      <c r="T19" s="130">
        <v>0.2841853003446418</v>
      </c>
      <c r="U19" s="130">
        <v>2.240576540935301</v>
      </c>
      <c r="V19" s="130">
        <v>0.824887568932711</v>
      </c>
      <c r="W19" s="130">
        <v>0.6476346344167981</v>
      </c>
      <c r="X19" s="130">
        <v>0.2538332588267969</v>
      </c>
      <c r="Y19" s="130">
        <v>144.9222106933594</v>
      </c>
      <c r="Z19" s="130">
        <v>5.33</v>
      </c>
      <c r="AA19" s="130">
        <v>6.95</v>
      </c>
      <c r="AB19" s="130">
        <v>7.189E9</v>
      </c>
      <c r="AC19" s="130">
        <v>9.1854E10</v>
      </c>
      <c r="AD19" s="130">
        <v>1.668E10</v>
      </c>
      <c r="AE19" s="130">
        <v>4.4948E10</v>
      </c>
      <c r="AF19" s="130">
        <v>8.505E9</v>
      </c>
      <c r="AG19" s="130">
        <v>1.8041E10</v>
      </c>
      <c r="AH19" s="130">
        <v>1.378E9</v>
      </c>
      <c r="AI19" s="130" t="s">
        <v>163</v>
      </c>
      <c r="AJ19" s="130" t="s">
        <v>161</v>
      </c>
      <c r="AK19" s="130" t="s">
        <v>164</v>
      </c>
      <c r="AL19" s="130">
        <v>1.997028063354492E11</v>
      </c>
      <c r="AM19" s="130">
        <v>2.361458063354492E11</v>
      </c>
      <c r="AN19" s="130">
        <v>20.85211664652653</v>
      </c>
      <c r="AO19" s="130">
        <v>2.174132931994788</v>
      </c>
      <c r="AP19" s="130">
        <v>27.77894092856436</v>
      </c>
      <c r="AQ19" s="130">
        <v>14.15742244217321</v>
      </c>
      <c r="AR19" s="130">
        <v>0.03677835146524046</v>
      </c>
      <c r="AS19" s="130">
        <v>11.06938674881931</v>
      </c>
      <c r="AT19" s="130">
        <v>5.153913609283316</v>
      </c>
    </row>
    <row r="20">
      <c r="A20" s="130" t="s">
        <v>15</v>
      </c>
      <c r="B20" s="130">
        <v>2022.0</v>
      </c>
      <c r="C20" s="130">
        <v>2024.0</v>
      </c>
      <c r="D20" s="130">
        <v>0.08013422425783046</v>
      </c>
      <c r="E20" s="130">
        <v>0.008515284701379633</v>
      </c>
      <c r="F20" s="130">
        <v>0.001568628415163476</v>
      </c>
      <c r="G20" s="130"/>
      <c r="H20" s="130">
        <v>0.0205222035708803</v>
      </c>
      <c r="I20" s="130">
        <v>0.8648788740397109</v>
      </c>
      <c r="J20" s="130">
        <v>0.3567276005042494</v>
      </c>
      <c r="K20" s="130">
        <v>0.3228355782000797</v>
      </c>
      <c r="L20" s="130">
        <v>0.1711695637093502</v>
      </c>
      <c r="M20" s="130">
        <v>0.1333379280342174</v>
      </c>
      <c r="N20" s="130">
        <v>0.1548327887519926</v>
      </c>
      <c r="O20" s="130">
        <v>0.08081899942822156</v>
      </c>
      <c r="P20" s="130">
        <v>0.0</v>
      </c>
      <c r="Q20" s="130">
        <v>0.0</v>
      </c>
      <c r="R20" s="130">
        <v>0.1051301980997227</v>
      </c>
      <c r="S20" s="130">
        <v>76.30500954552473</v>
      </c>
      <c r="T20" s="130">
        <v>1.730207403645089</v>
      </c>
      <c r="U20" s="130">
        <v>-0.01400893217180445</v>
      </c>
      <c r="V20" s="130">
        <v>5.159219507462629</v>
      </c>
      <c r="W20" s="130">
        <v>4.392177184044369</v>
      </c>
      <c r="X20" s="130">
        <v>0.8056726578366492</v>
      </c>
      <c r="Y20" s="130">
        <v>706.4948120117188</v>
      </c>
      <c r="Z20" s="130">
        <v>0.0</v>
      </c>
      <c r="AA20" s="130">
        <v>38.34</v>
      </c>
      <c r="AB20" s="130">
        <v>3.5389E9</v>
      </c>
      <c r="AC20" s="130">
        <v>1.4202E10</v>
      </c>
      <c r="AD20" s="130">
        <v>5.318E9</v>
      </c>
      <c r="AE20" s="130">
        <v>2.7044E9</v>
      </c>
      <c r="AF20" s="130">
        <v>2.4882E9</v>
      </c>
      <c r="AG20" s="130">
        <v>2.93536E10</v>
      </c>
      <c r="AH20" s="130">
        <v>1.151E8</v>
      </c>
      <c r="AI20" s="130" t="s">
        <v>157</v>
      </c>
      <c r="AJ20" s="130" t="s">
        <v>154</v>
      </c>
      <c r="AK20" s="130" t="s">
        <v>158</v>
      </c>
      <c r="AL20" s="130">
        <v>8.131755286254883E10</v>
      </c>
      <c r="AM20" s="130">
        <v>8.153375286254883E10</v>
      </c>
      <c r="AN20" s="130">
        <v>18.42709473165672</v>
      </c>
      <c r="AO20" s="130">
        <v>5.725781781618704</v>
      </c>
      <c r="AP20" s="130">
        <v>22.97820024938507</v>
      </c>
      <c r="AQ20" s="130">
        <v>15.33165717610922</v>
      </c>
      <c r="AR20" s="130">
        <v>0.0</v>
      </c>
      <c r="AS20" s="130">
        <v>2.770275293747575</v>
      </c>
      <c r="AT20" s="130">
        <v>117.4726567077795</v>
      </c>
    </row>
    <row r="21" ht="15.75" customHeight="1">
      <c r="A21" s="130" t="s">
        <v>24</v>
      </c>
      <c r="B21" s="130">
        <v>2022.0</v>
      </c>
      <c r="C21" s="130">
        <v>2024.0</v>
      </c>
      <c r="D21" s="130">
        <v>0.01142758571443725</v>
      </c>
      <c r="E21" s="130">
        <v>1.092365235323957</v>
      </c>
      <c r="F21" s="130">
        <v>1.165483869334869</v>
      </c>
      <c r="G21" s="130"/>
      <c r="H21" s="130"/>
      <c r="I21" s="130">
        <v>0.5988069757418453</v>
      </c>
      <c r="J21" s="130">
        <v>0.1623063052538586</v>
      </c>
      <c r="K21" s="130">
        <v>0.09257337426794772</v>
      </c>
      <c r="L21" s="130">
        <v>0.1134364743926907</v>
      </c>
      <c r="M21" s="130">
        <v>0.03550139096204643</v>
      </c>
      <c r="N21" s="130">
        <v>0.07172662818403387</v>
      </c>
      <c r="O21" s="130">
        <v>0.2166137773084996</v>
      </c>
      <c r="P21" s="130">
        <v>0.126948998182659</v>
      </c>
      <c r="Q21" s="130">
        <v>0.1423356828041636</v>
      </c>
      <c r="R21" s="130">
        <v>1.732626008993601</v>
      </c>
      <c r="S21" s="130">
        <v>3.848783943636104</v>
      </c>
      <c r="T21" s="130">
        <v>0.169957302693347</v>
      </c>
      <c r="U21" s="130">
        <v>4.264535833614265</v>
      </c>
      <c r="V21" s="130">
        <v>0.8638292006409682</v>
      </c>
      <c r="W21" s="130">
        <v>0.7851683763880342</v>
      </c>
      <c r="X21" s="130">
        <v>0.231880776677319</v>
      </c>
      <c r="Y21" s="130">
        <v>215.1318054199219</v>
      </c>
      <c r="Z21" s="130">
        <v>2.83</v>
      </c>
      <c r="AA21" s="130">
        <v>9.66</v>
      </c>
      <c r="AB21" s="130">
        <v>9.982E9</v>
      </c>
      <c r="AC21" s="130">
        <v>8.14E10</v>
      </c>
      <c r="AD21" s="130">
        <v>3.1042E10</v>
      </c>
      <c r="AE21" s="130">
        <v>1.13944E11</v>
      </c>
      <c r="AF21" s="130">
        <v>5.409E9</v>
      </c>
      <c r="AG21" s="130">
        <v>6.1741E10</v>
      </c>
      <c r="AH21" s="130">
        <v>1.173213898E9</v>
      </c>
      <c r="AI21" s="130" t="s">
        <v>150</v>
      </c>
      <c r="AJ21" s="130" t="s">
        <v>145</v>
      </c>
      <c r="AK21" s="130" t="s">
        <v>151</v>
      </c>
      <c r="AL21" s="130">
        <v>2.523956240204841E11</v>
      </c>
      <c r="AM21" s="130">
        <v>3.609306240204841E11</v>
      </c>
      <c r="AN21" s="130">
        <v>22.27037323187597</v>
      </c>
      <c r="AO21" s="130">
        <v>3.100683341774988</v>
      </c>
      <c r="AP21" s="130">
        <v>25.28507553801684</v>
      </c>
      <c r="AQ21" s="130">
        <v>11.62717041493731</v>
      </c>
      <c r="AR21" s="130">
        <v>0.01315472621296532</v>
      </c>
      <c r="AS21" s="130">
        <v>4.08797434477064</v>
      </c>
      <c r="AT21" s="130">
        <v>0.1910826380169935</v>
      </c>
    </row>
    <row r="22" ht="15.75" customHeight="1">
      <c r="A22" s="130" t="s">
        <v>18</v>
      </c>
      <c r="B22" s="130">
        <v>2022.0</v>
      </c>
      <c r="C22" s="130">
        <v>2024.0</v>
      </c>
      <c r="D22" s="130">
        <v>0.09508421929534006</v>
      </c>
      <c r="E22" s="130">
        <v>-0.2472467025499638</v>
      </c>
      <c r="F22" s="130">
        <v>-0.2493097099321119</v>
      </c>
      <c r="G22" s="130"/>
      <c r="H22" s="130">
        <v>-0.311393417528028</v>
      </c>
      <c r="I22" s="130">
        <v>0.2056998564943704</v>
      </c>
      <c r="J22" s="130">
        <v>0.1236768813732443</v>
      </c>
      <c r="K22" s="130">
        <v>0.127480737548154</v>
      </c>
      <c r="L22" s="130">
        <v>0.2220497919680536</v>
      </c>
      <c r="M22" s="130">
        <v>0.1246445106950382</v>
      </c>
      <c r="N22" s="130">
        <v>0.1969952686834069</v>
      </c>
      <c r="O22" s="130">
        <v>-0.07153415645878912</v>
      </c>
      <c r="P22" s="130"/>
      <c r="Q22" s="130"/>
      <c r="R22" s="130">
        <v>0.1560861726885474</v>
      </c>
      <c r="S22" s="130">
        <v>54.81414219869717</v>
      </c>
      <c r="T22" s="130">
        <v>1.680580456992026</v>
      </c>
      <c r="U22" s="130">
        <v>-0.4090949543934305</v>
      </c>
      <c r="V22" s="130">
        <v>1.760920628705024</v>
      </c>
      <c r="W22" s="130">
        <v>1.303709593818557</v>
      </c>
      <c r="X22" s="130">
        <v>0.5796333334113154</v>
      </c>
      <c r="Y22" s="130">
        <v>403.8399963378906</v>
      </c>
      <c r="Z22" s="130"/>
      <c r="AA22" s="130">
        <v>2.04</v>
      </c>
      <c r="AB22" s="130">
        <v>3.581E9</v>
      </c>
      <c r="AC22" s="130">
        <v>9.769E10</v>
      </c>
      <c r="AD22" s="130">
        <v>1.4708E10</v>
      </c>
      <c r="AE22" s="130">
        <v>1.3623E10</v>
      </c>
      <c r="AF22" s="130">
        <v>1.6139E10</v>
      </c>
      <c r="AG22" s="130">
        <v>7.2913E10</v>
      </c>
      <c r="AH22" s="130">
        <v>3.216E9</v>
      </c>
      <c r="AI22" s="130" t="s">
        <v>140</v>
      </c>
      <c r="AJ22" s="130" t="s">
        <v>138</v>
      </c>
      <c r="AK22" s="130" t="s">
        <v>141</v>
      </c>
      <c r="AL22" s="130">
        <v>1.298749428222656E12</v>
      </c>
      <c r="AM22" s="130">
        <v>1.296233428222656E12</v>
      </c>
      <c r="AN22" s="130">
        <v>197.9607825185738</v>
      </c>
      <c r="AO22" s="130">
        <v>13.29459953140195</v>
      </c>
      <c r="AP22" s="130">
        <v>362.6778632288903</v>
      </c>
      <c r="AQ22" s="130">
        <v>88.13118222889966</v>
      </c>
      <c r="AR22" s="130"/>
      <c r="AS22" s="130">
        <v>17.81231643496573</v>
      </c>
      <c r="AT22" s="130"/>
    </row>
    <row r="23" ht="15.75" customHeight="1">
      <c r="A23" s="130" t="s">
        <v>25</v>
      </c>
      <c r="B23" s="130">
        <v>2022.0</v>
      </c>
      <c r="C23" s="130">
        <v>2024.0</v>
      </c>
      <c r="D23" s="130">
        <v>0.1108361826324009</v>
      </c>
      <c r="E23" s="130"/>
      <c r="F23" s="130"/>
      <c r="G23" s="130"/>
      <c r="H23" s="130"/>
      <c r="I23" s="130">
        <v>0.8707532708005394</v>
      </c>
      <c r="J23" s="130">
        <v>0.3178771852583356</v>
      </c>
      <c r="K23" s="130">
        <v>0.2300434684167584</v>
      </c>
      <c r="L23" s="130">
        <v>0.1457085726329921</v>
      </c>
      <c r="M23" s="130">
        <v>0.1121448971809398</v>
      </c>
      <c r="N23" s="130">
        <v>0.1377230266729295</v>
      </c>
      <c r="O23" s="130">
        <v>1.18133470121041</v>
      </c>
      <c r="P23" s="130"/>
      <c r="Q23" s="130"/>
      <c r="R23" s="130">
        <v>0.07231603122778935</v>
      </c>
      <c r="S23" s="130">
        <v>62.55656147292655</v>
      </c>
      <c r="T23" s="130">
        <v>2.894527562386586</v>
      </c>
      <c r="U23" s="130">
        <v>-3.350393199878744</v>
      </c>
      <c r="V23" s="130">
        <v>3.835287028465659</v>
      </c>
      <c r="W23" s="130">
        <v>3.597154622301854</v>
      </c>
      <c r="X23" s="130">
        <v>2.678531285246019</v>
      </c>
      <c r="Y23" s="130">
        <v>402.7000122070312</v>
      </c>
      <c r="Z23" s="130"/>
      <c r="AA23" s="130">
        <v>-2.08</v>
      </c>
      <c r="AB23" s="130">
        <v>-9.78E8</v>
      </c>
      <c r="AC23" s="130">
        <v>1.10201E10</v>
      </c>
      <c r="AD23" s="130">
        <v>4.863E8</v>
      </c>
      <c r="AE23" s="130">
        <v>1.7443E9</v>
      </c>
      <c r="AF23" s="130">
        <v>4.5696E9</v>
      </c>
      <c r="AG23" s="130">
        <v>1.64096E10</v>
      </c>
      <c r="AH23" s="130">
        <v>2.579E8</v>
      </c>
      <c r="AI23" s="130" t="s">
        <v>159</v>
      </c>
      <c r="AJ23" s="130" t="s">
        <v>154</v>
      </c>
      <c r="AK23" s="130" t="s">
        <v>158</v>
      </c>
      <c r="AL23" s="130">
        <v>1.038563331481934E11</v>
      </c>
      <c r="AM23" s="130">
        <v>1.010310331481934E11</v>
      </c>
      <c r="AN23" s="130">
        <v>-193.6057750995342</v>
      </c>
      <c r="AO23" s="130">
        <v>9.424264130833055</v>
      </c>
      <c r="AP23" s="130">
        <v>-106.1925696811793</v>
      </c>
      <c r="AQ23" s="130">
        <v>207.7545407118926</v>
      </c>
      <c r="AR23" s="130"/>
      <c r="AS23" s="130">
        <v>6.328998461156479</v>
      </c>
      <c r="AT23" s="1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13.14"/>
    <col customWidth="1" min="4" max="4" width="15.29"/>
    <col customWidth="1" min="5" max="5" width="18.43"/>
    <col customWidth="1" min="6" max="6" width="18.14"/>
    <col customWidth="1" min="7" max="7" width="11.29"/>
    <col customWidth="1" min="8" max="8" width="11.43"/>
    <col customWidth="1" min="9" max="9" width="20.71"/>
    <col customWidth="1" min="10" max="10" width="14.86"/>
    <col customWidth="1" min="11" max="11" width="26.29"/>
    <col customWidth="1" min="12" max="12" width="25.14"/>
    <col customWidth="1" min="13" max="13" width="29.86"/>
    <col customWidth="1" min="14" max="14" width="14.86"/>
    <col customWidth="1" min="15" max="15" width="21.0"/>
    <col customWidth="1" min="16" max="16" width="18.86"/>
    <col customWidth="1" min="17" max="17" width="26.71"/>
    <col customWidth="1" min="18" max="18" width="23.43"/>
    <col customWidth="1" min="19" max="19" width="15.86"/>
    <col customWidth="1" min="20" max="20" width="14.86"/>
    <col customWidth="1" min="21" max="21" width="21.0"/>
    <col customWidth="1" min="22" max="22" width="16.86"/>
    <col customWidth="1" min="23" max="23" width="22.14"/>
    <col customWidth="1" min="24" max="25" width="14.86"/>
    <col customWidth="1" min="26" max="26" width="22.71"/>
    <col customWidth="1" min="27" max="27" width="20.71"/>
    <col customWidth="1" min="28" max="28" width="19.71"/>
    <col customWidth="1" min="29" max="29" width="16.0"/>
    <col customWidth="1" min="30" max="30" width="9.57"/>
    <col customWidth="1" min="31" max="31" width="19.71"/>
    <col customWidth="1" min="32" max="32" width="23.29"/>
    <col customWidth="1" min="33" max="33" width="23.14"/>
    <col customWidth="1" min="34" max="35" width="15.43"/>
    <col customWidth="1" min="36" max="36" width="14.86"/>
    <col customWidth="1" min="37" max="37" width="15.43"/>
    <col customWidth="1" min="38" max="38" width="30.43"/>
    <col customWidth="1" min="39" max="39" width="32.0"/>
    <col customWidth="1" min="40" max="40" width="15.43"/>
    <col customWidth="1" min="41" max="41" width="23.57"/>
    <col customWidth="1" min="42" max="42" width="22.57"/>
    <col customWidth="1" min="43" max="43" width="15.57"/>
    <col customWidth="1" min="44" max="44" width="24.14"/>
    <col customWidth="1" min="45" max="45" width="19.43"/>
    <col customWidth="1" min="46" max="46" width="17.86"/>
    <col customWidth="1" min="47" max="47" width="17.43"/>
    <col customWidth="1" min="48" max="48" width="18.0"/>
    <col customWidth="1" min="49" max="49" width="16.0"/>
    <col customWidth="1" min="50" max="50" width="13.14"/>
    <col customWidth="1" min="51" max="51" width="14.29"/>
    <col customWidth="1" min="52" max="52" width="13.29"/>
    <col customWidth="1" min="53" max="53" width="17.71"/>
    <col customWidth="1" min="54" max="54" width="20.43"/>
    <col customWidth="1" min="55" max="55" width="14.29"/>
    <col customWidth="1" min="56" max="56" width="31.14"/>
    <col customWidth="1" min="57" max="57" width="23.71"/>
    <col customWidth="1" min="58" max="58" width="35.86"/>
    <col customWidth="1" min="59" max="59" width="11.43"/>
  </cols>
  <sheetData>
    <row r="1">
      <c r="A1" s="130" t="s">
        <v>73</v>
      </c>
      <c r="B1" s="130" t="s">
        <v>79</v>
      </c>
      <c r="C1" s="130" t="s">
        <v>211</v>
      </c>
      <c r="D1" s="130" t="s">
        <v>212</v>
      </c>
      <c r="E1" s="130" t="s">
        <v>213</v>
      </c>
      <c r="F1" s="130" t="s">
        <v>214</v>
      </c>
      <c r="G1" s="130" t="s">
        <v>215</v>
      </c>
      <c r="H1" s="130" t="s">
        <v>216</v>
      </c>
      <c r="I1" s="130" t="s">
        <v>217</v>
      </c>
      <c r="J1" s="130" t="s">
        <v>218</v>
      </c>
      <c r="K1" s="130" t="s">
        <v>219</v>
      </c>
      <c r="L1" s="130" t="s">
        <v>220</v>
      </c>
      <c r="M1" s="130" t="s">
        <v>221</v>
      </c>
      <c r="N1" s="130" t="s">
        <v>222</v>
      </c>
      <c r="O1" s="130" t="s">
        <v>223</v>
      </c>
      <c r="P1" s="130" t="s">
        <v>224</v>
      </c>
      <c r="Q1" s="130" t="s">
        <v>225</v>
      </c>
      <c r="R1" s="130" t="s">
        <v>226</v>
      </c>
      <c r="S1" s="130" t="s">
        <v>227</v>
      </c>
      <c r="T1" s="130" t="s">
        <v>228</v>
      </c>
      <c r="U1" s="130" t="s">
        <v>229</v>
      </c>
      <c r="V1" s="130" t="s">
        <v>230</v>
      </c>
      <c r="W1" s="130" t="s">
        <v>231</v>
      </c>
      <c r="X1" s="130" t="s">
        <v>232</v>
      </c>
      <c r="Y1" s="130" t="s">
        <v>233</v>
      </c>
      <c r="Z1" s="130" t="s">
        <v>234</v>
      </c>
      <c r="AA1" s="130" t="s">
        <v>235</v>
      </c>
      <c r="AB1" s="130" t="s">
        <v>236</v>
      </c>
      <c r="AC1" s="130" t="s">
        <v>237</v>
      </c>
      <c r="AD1" s="130" t="s">
        <v>107</v>
      </c>
      <c r="AE1" s="130" t="s">
        <v>238</v>
      </c>
      <c r="AF1" s="130" t="s">
        <v>239</v>
      </c>
      <c r="AG1" s="130" t="s">
        <v>240</v>
      </c>
      <c r="AH1" s="130" t="s">
        <v>241</v>
      </c>
      <c r="AI1" s="130" t="s">
        <v>242</v>
      </c>
      <c r="AJ1" s="130" t="s">
        <v>243</v>
      </c>
      <c r="AK1" s="130" t="s">
        <v>244</v>
      </c>
      <c r="AL1" s="130" t="s">
        <v>245</v>
      </c>
      <c r="AM1" s="130" t="s">
        <v>246</v>
      </c>
      <c r="AN1" s="130" t="s">
        <v>247</v>
      </c>
      <c r="AO1" s="130" t="s">
        <v>248</v>
      </c>
      <c r="AP1" s="130" t="s">
        <v>249</v>
      </c>
      <c r="AQ1" s="130" t="s">
        <v>250</v>
      </c>
      <c r="AR1" s="130" t="s">
        <v>251</v>
      </c>
      <c r="AS1" s="130" t="s">
        <v>252</v>
      </c>
      <c r="AT1" s="130" t="s">
        <v>253</v>
      </c>
      <c r="AU1" s="130" t="s">
        <v>254</v>
      </c>
      <c r="AV1" s="130" t="s">
        <v>255</v>
      </c>
      <c r="AW1" s="130" t="s">
        <v>256</v>
      </c>
      <c r="AX1" s="130" t="s">
        <v>257</v>
      </c>
      <c r="AY1" s="130" t="s">
        <v>258</v>
      </c>
      <c r="AZ1" s="130" t="s">
        <v>259</v>
      </c>
      <c r="BA1" s="130" t="s">
        <v>260</v>
      </c>
      <c r="BB1" s="130" t="s">
        <v>261</v>
      </c>
      <c r="BC1" s="130" t="s">
        <v>262</v>
      </c>
      <c r="BD1" s="130" t="s">
        <v>125</v>
      </c>
      <c r="BE1" s="130" t="s">
        <v>126</v>
      </c>
      <c r="BF1" s="130" t="s">
        <v>127</v>
      </c>
      <c r="BG1" s="130" t="s">
        <v>263</v>
      </c>
    </row>
    <row r="2">
      <c r="A2" s="130" t="s">
        <v>7</v>
      </c>
      <c r="B2" s="130">
        <v>2025.0</v>
      </c>
      <c r="C2" s="130">
        <v>271.3558349609375</v>
      </c>
      <c r="D2" s="130">
        <v>4.16161E11</v>
      </c>
      <c r="E2" s="130">
        <v>1.95201E11</v>
      </c>
      <c r="F2" s="130">
        <v>1.1201E11</v>
      </c>
      <c r="G2" s="130">
        <v>7.46</v>
      </c>
      <c r="H2" s="130">
        <v>1.03</v>
      </c>
      <c r="I2" s="130">
        <v>1.5004697E10</v>
      </c>
      <c r="J2" s="130">
        <v>9.8767E10</v>
      </c>
      <c r="K2" s="130">
        <v>1.11482E11</v>
      </c>
      <c r="L2" s="130">
        <v>-1.2715E10</v>
      </c>
      <c r="M2" s="130">
        <v>1.5421E10</v>
      </c>
      <c r="N2" s="130">
        <v>3.5934E10</v>
      </c>
      <c r="O2" s="130">
        <v>1.47957E11</v>
      </c>
      <c r="P2" s="130">
        <v>3.59241E11</v>
      </c>
      <c r="Q2" s="130">
        <v>3.621105E11</v>
      </c>
      <c r="R2" s="130">
        <v>1.65631E11</v>
      </c>
      <c r="S2" s="130">
        <v>5.718E9</v>
      </c>
      <c r="T2" s="130">
        <v>7.3733E10</v>
      </c>
      <c r="U2" s="130">
        <v>6.53415E10</v>
      </c>
      <c r="V2" s="130">
        <v>9.8657E10</v>
      </c>
      <c r="W2" s="130">
        <v>1.7239E11</v>
      </c>
      <c r="X2" s="130">
        <v>1.44748E11</v>
      </c>
      <c r="Y2" s="130">
        <v>1.3305E11</v>
      </c>
      <c r="Z2" s="130">
        <v>3.933E9</v>
      </c>
      <c r="AA2" s="130">
        <v>1.32729E11</v>
      </c>
      <c r="AB2" s="130">
        <v>2.0719E10</v>
      </c>
      <c r="AC2" s="130">
        <v>0.1561000233558604</v>
      </c>
      <c r="AD2" s="130"/>
      <c r="AE2" s="130">
        <v>0.4690516410716045</v>
      </c>
      <c r="AF2" s="130">
        <v>0.3197079976259188</v>
      </c>
      <c r="AG2" s="130">
        <v>0.2691506412181824</v>
      </c>
      <c r="AH2" s="130">
        <v>1.714224497448023</v>
      </c>
      <c r="AI2" s="130">
        <v>0.3093254683307996</v>
      </c>
      <c r="AJ2" s="130">
        <v>1.122808918925028E11</v>
      </c>
      <c r="AK2" s="130">
        <v>0.6513190550061069</v>
      </c>
      <c r="AL2" s="130">
        <v>0.1376752075707526</v>
      </c>
      <c r="AM2" s="130">
        <v>0.1561351463545516</v>
      </c>
      <c r="AN2" s="130">
        <v>1.338030461258866</v>
      </c>
      <c r="AO2" s="130">
        <v>33.82913806254767</v>
      </c>
      <c r="AP2" s="130">
        <v>1.129995844187437</v>
      </c>
      <c r="AQ2" s="130">
        <v>6.2723E10</v>
      </c>
      <c r="AR2" s="130">
        <v>0.4333255036339017</v>
      </c>
      <c r="AS2" s="130">
        <v>0.8932929222186667</v>
      </c>
      <c r="AT2" s="130">
        <v>0.858770399261008</v>
      </c>
      <c r="AU2" s="130">
        <v>0.216952140601699</v>
      </c>
      <c r="AV2" s="130">
        <v>4.071612082770874E12</v>
      </c>
      <c r="AW2" s="130">
        <v>4.134335082770874E12</v>
      </c>
      <c r="AX2" s="130">
        <v>36.37477680441521</v>
      </c>
      <c r="AY2" s="130">
        <v>9.783742548607087</v>
      </c>
      <c r="AZ2" s="130">
        <v>41.22441790042093</v>
      </c>
      <c r="BA2" s="130">
        <v>28.56229504221733</v>
      </c>
      <c r="BB2" s="130">
        <v>0.003795754014828064</v>
      </c>
      <c r="BC2" s="130">
        <v>55.22102834240943</v>
      </c>
      <c r="BD2" s="130" t="s">
        <v>128</v>
      </c>
      <c r="BE2" s="130" t="s">
        <v>129</v>
      </c>
      <c r="BF2" s="130" t="s">
        <v>130</v>
      </c>
      <c r="BG2" s="130"/>
    </row>
    <row r="3">
      <c r="A3" s="130" t="s">
        <v>22</v>
      </c>
      <c r="B3" s="130">
        <v>2025.0</v>
      </c>
      <c r="C3" s="130">
        <v>214.1600036621094</v>
      </c>
      <c r="D3" s="130">
        <v>3.4639E10</v>
      </c>
      <c r="E3" s="130">
        <v>1.7152E10</v>
      </c>
      <c r="F3" s="130">
        <v>4.335E9</v>
      </c>
      <c r="G3" s="130">
        <v>2.65</v>
      </c>
      <c r="H3" s="130"/>
      <c r="I3" s="130">
        <v>1.636E9</v>
      </c>
      <c r="J3" s="130">
        <v>6.735E9</v>
      </c>
      <c r="K3" s="130">
        <v>7.709E9</v>
      </c>
      <c r="L3" s="130">
        <v>-9.74E8</v>
      </c>
      <c r="M3" s="130"/>
      <c r="N3" s="130">
        <v>5.539E9</v>
      </c>
      <c r="O3" s="130">
        <v>2.6947E10</v>
      </c>
      <c r="P3" s="130">
        <v>7.6926E10</v>
      </c>
      <c r="Q3" s="130">
        <v>7.3076E10</v>
      </c>
      <c r="R3" s="130">
        <v>9.455E9</v>
      </c>
      <c r="S3" s="130">
        <v>7.92E9</v>
      </c>
      <c r="T3" s="130">
        <v>6.2999E10</v>
      </c>
      <c r="U3" s="130">
        <v>6.02835E10</v>
      </c>
      <c r="V3" s="130">
        <v>3.847E9</v>
      </c>
      <c r="W3" s="130">
        <v>6.6221E10</v>
      </c>
      <c r="X3" s="130">
        <v>7.275E9</v>
      </c>
      <c r="Y3" s="130">
        <v>4.271E9</v>
      </c>
      <c r="Z3" s="130">
        <v>1.31E8</v>
      </c>
      <c r="AA3" s="130">
        <v>4.14E9</v>
      </c>
      <c r="AB3" s="130">
        <v>-1.03E8</v>
      </c>
      <c r="AC3" s="130">
        <v>-0.0248792270531401</v>
      </c>
      <c r="AD3" s="130"/>
      <c r="AE3" s="130">
        <v>0.4951644100580271</v>
      </c>
      <c r="AF3" s="130">
        <v>0.1233003262218886</v>
      </c>
      <c r="AG3" s="130">
        <v>0.1251479546176275</v>
      </c>
      <c r="AH3" s="130">
        <v>0.07191022419069895</v>
      </c>
      <c r="AI3" s="130">
        <v>0.0593218019596037</v>
      </c>
      <c r="AJ3" s="130">
        <v>4.377259178743961E9</v>
      </c>
      <c r="AK3" s="130">
        <v>0.06610077133755095</v>
      </c>
      <c r="AL3" s="130"/>
      <c r="AM3" s="130"/>
      <c r="AN3" s="130">
        <v>0.0610644613406562</v>
      </c>
      <c r="AO3" s="130">
        <v>32.6030534351145</v>
      </c>
      <c r="AP3" s="130">
        <v>2.003899142188719</v>
      </c>
      <c r="AQ3" s="130">
        <v>-1.692E9</v>
      </c>
      <c r="AR3" s="130">
        <v>-0.2325773195876289</v>
      </c>
      <c r="AS3" s="130">
        <v>2.850026441036489</v>
      </c>
      <c r="AT3" s="130">
        <v>2.012374405076679</v>
      </c>
      <c r="AU3" s="130">
        <v>0.5858276044420941</v>
      </c>
      <c r="AV3" s="130">
        <v>3.503657659912109E11</v>
      </c>
      <c r="AW3" s="130">
        <v>3.486737659912109E11</v>
      </c>
      <c r="AX3" s="130">
        <v>80.8150957215507</v>
      </c>
      <c r="AY3" s="130">
        <v>10.11477715844022</v>
      </c>
      <c r="AZ3" s="130">
        <v>52.02164305734387</v>
      </c>
      <c r="BA3" s="130">
        <v>47.92766542834514</v>
      </c>
      <c r="BB3" s="130"/>
      <c r="BC3" s="130">
        <v>5.561449641918299</v>
      </c>
      <c r="BD3" s="130" t="s">
        <v>133</v>
      </c>
      <c r="BE3" s="130" t="s">
        <v>129</v>
      </c>
      <c r="BF3" s="130" t="s">
        <v>134</v>
      </c>
      <c r="BG3" s="130"/>
    </row>
    <row r="4">
      <c r="A4" s="130" t="s">
        <v>10</v>
      </c>
      <c r="B4" s="130">
        <v>2025.0</v>
      </c>
      <c r="C4" s="130">
        <v>322.621337890625</v>
      </c>
      <c r="D4" s="130">
        <v>3.6751E10</v>
      </c>
      <c r="E4" s="130">
        <v>2.4714E10</v>
      </c>
      <c r="F4" s="130">
        <v>7.711E9</v>
      </c>
      <c r="G4" s="130">
        <v>14.23</v>
      </c>
      <c r="H4" s="130">
        <v>9.52</v>
      </c>
      <c r="I4" s="130">
        <v>5.42E8</v>
      </c>
      <c r="J4" s="130">
        <v>8.1E9</v>
      </c>
      <c r="K4" s="130">
        <v>9.958E9</v>
      </c>
      <c r="L4" s="130">
        <v>-1.858E9</v>
      </c>
      <c r="M4" s="130">
        <v>5.124E9</v>
      </c>
      <c r="N4" s="130">
        <v>9.129E9</v>
      </c>
      <c r="O4" s="130">
        <v>2.9057E10</v>
      </c>
      <c r="P4" s="130">
        <v>9.0586E10</v>
      </c>
      <c r="Q4" s="130">
        <v>9.12125E10</v>
      </c>
      <c r="R4" s="130">
        <v>2.5489E10</v>
      </c>
      <c r="S4" s="130">
        <v>6.225E9</v>
      </c>
      <c r="T4" s="130">
        <v>8.658E9</v>
      </c>
      <c r="U4" s="130">
        <v>7.2675E9</v>
      </c>
      <c r="V4" s="130">
        <v>5.4604E10</v>
      </c>
      <c r="W4" s="130">
        <v>6.3262E10</v>
      </c>
      <c r="X4" s="130">
        <v>1.6898E10</v>
      </c>
      <c r="Y4" s="130">
        <v>1.1731E10</v>
      </c>
      <c r="Z4" s="130">
        <v>2.755E9</v>
      </c>
      <c r="AA4" s="130">
        <v>8.976E9</v>
      </c>
      <c r="AB4" s="130">
        <v>1.265E9</v>
      </c>
      <c r="AC4" s="130">
        <v>0.1409313725490196</v>
      </c>
      <c r="AD4" s="130"/>
      <c r="AE4" s="130">
        <v>0.6724714973742211</v>
      </c>
      <c r="AF4" s="130">
        <v>0.3192021985796305</v>
      </c>
      <c r="AG4" s="130">
        <v>0.2098174199341515</v>
      </c>
      <c r="AH4" s="130">
        <v>1.061025111799106</v>
      </c>
      <c r="AI4" s="130">
        <v>0.08453885158284226</v>
      </c>
      <c r="AJ4" s="130">
        <v>1.007773406862745E10</v>
      </c>
      <c r="AK4" s="130">
        <v>0.1593015407136583</v>
      </c>
      <c r="AL4" s="130">
        <v>0.6645052522370639</v>
      </c>
      <c r="AM4" s="130">
        <v>0.6325925925925926</v>
      </c>
      <c r="AN4" s="130">
        <v>6.306768306768307</v>
      </c>
      <c r="AO4" s="130">
        <v>4.258076225045372</v>
      </c>
      <c r="AP4" s="130">
        <v>0.1823675921177936</v>
      </c>
      <c r="AQ4" s="130">
        <v>4.5475E10</v>
      </c>
      <c r="AR4" s="130">
        <v>2.691146881287726</v>
      </c>
      <c r="AS4" s="130">
        <v>1.139981952999333</v>
      </c>
      <c r="AT4" s="130">
        <v>0.8957589548432657</v>
      </c>
      <c r="AU4" s="130">
        <v>0.3581544980187532</v>
      </c>
      <c r="AV4" s="130">
        <v>1.748607651367188E11</v>
      </c>
      <c r="AW4" s="130">
        <v>2.203357651367188E11</v>
      </c>
      <c r="AX4" s="130">
        <v>22.67191411740162</v>
      </c>
      <c r="AY4" s="130">
        <v>4.757986589119174</v>
      </c>
      <c r="AZ4" s="130">
        <v>21.58774878231096</v>
      </c>
      <c r="BA4" s="130">
        <v>13.03916233499342</v>
      </c>
      <c r="BB4" s="130">
        <v>0.0295082776057034</v>
      </c>
      <c r="BC4" s="130">
        <v>20.19643856972959</v>
      </c>
      <c r="BD4" s="130" t="s">
        <v>153</v>
      </c>
      <c r="BE4" s="130" t="s">
        <v>154</v>
      </c>
      <c r="BF4" s="130" t="s">
        <v>155</v>
      </c>
      <c r="BG4" s="130"/>
    </row>
    <row r="5">
      <c r="A5" s="130" t="s">
        <v>8</v>
      </c>
      <c r="B5" s="130">
        <v>2025.0</v>
      </c>
      <c r="C5" s="130">
        <v>230.8200073242188</v>
      </c>
      <c r="D5" s="130">
        <v>7.16924E11</v>
      </c>
      <c r="E5" s="130">
        <v>3.6051E11</v>
      </c>
      <c r="F5" s="130">
        <v>7.767E10</v>
      </c>
      <c r="G5" s="130">
        <v>7.17</v>
      </c>
      <c r="H5" s="130"/>
      <c r="I5" s="130">
        <v>1.0827E10</v>
      </c>
      <c r="J5" s="130">
        <v>7.695E9</v>
      </c>
      <c r="K5" s="130">
        <v>1.39514E11</v>
      </c>
      <c r="L5" s="130">
        <v>-1.31819E11</v>
      </c>
      <c r="M5" s="130"/>
      <c r="N5" s="130">
        <v>8.681E10</v>
      </c>
      <c r="O5" s="130">
        <v>2.29083E11</v>
      </c>
      <c r="P5" s="130">
        <v>8.18042E11</v>
      </c>
      <c r="Q5" s="130">
        <v>7.21468E11</v>
      </c>
      <c r="R5" s="130">
        <v>2.18005E11</v>
      </c>
      <c r="S5" s="130">
        <v>3.8325E10</v>
      </c>
      <c r="T5" s="130">
        <v>4.11065E11</v>
      </c>
      <c r="U5" s="130">
        <v>3.485175E11</v>
      </c>
      <c r="V5" s="130">
        <v>1.52987E11</v>
      </c>
      <c r="W5" s="130">
        <v>4.76713E11</v>
      </c>
      <c r="X5" s="130">
        <v>1.65341E11</v>
      </c>
      <c r="Y5" s="130">
        <v>9.9585E10</v>
      </c>
      <c r="Z5" s="130">
        <v>2.274E9</v>
      </c>
      <c r="AA5" s="130">
        <v>9.7311E10</v>
      </c>
      <c r="AB5" s="130"/>
      <c r="AC5" s="130"/>
      <c r="AD5" s="130"/>
      <c r="AE5" s="130">
        <v>0.5028566486824266</v>
      </c>
      <c r="AF5" s="130">
        <v>0.1389059370309824</v>
      </c>
      <c r="AG5" s="130">
        <v>0.1083378433418326</v>
      </c>
      <c r="AH5" s="130">
        <v>0.2228582495857453</v>
      </c>
      <c r="AI5" s="130">
        <v>0.1076555023923445</v>
      </c>
      <c r="AJ5" s="130">
        <v>7.867215E10</v>
      </c>
      <c r="AK5" s="130">
        <v>0.1650304271123297</v>
      </c>
      <c r="AL5" s="130"/>
      <c r="AM5" s="130"/>
      <c r="AN5" s="130">
        <v>0.372172284188632</v>
      </c>
      <c r="AO5" s="130">
        <v>43.79287598944591</v>
      </c>
      <c r="AP5" s="130">
        <v>0.9119336937125376</v>
      </c>
      <c r="AQ5" s="130">
        <v>6.6177E10</v>
      </c>
      <c r="AR5" s="130">
        <v>0.4002455531295928</v>
      </c>
      <c r="AS5" s="130">
        <v>1.050815348271829</v>
      </c>
      <c r="AT5" s="130">
        <v>0.8750166280589895</v>
      </c>
      <c r="AU5" s="130">
        <v>0.3982018761037591</v>
      </c>
      <c r="AV5" s="130">
        <v>2.499088219299316E12</v>
      </c>
      <c r="AW5" s="130">
        <v>2.565265219299316E12</v>
      </c>
      <c r="AX5" s="130">
        <v>32.19246964075575</v>
      </c>
      <c r="AY5" s="130">
        <v>3.485848178188087</v>
      </c>
      <c r="AZ5" s="130">
        <v>324.7677997789885</v>
      </c>
      <c r="BA5" s="130">
        <v>15.51499760676007</v>
      </c>
      <c r="BB5" s="130"/>
      <c r="BC5" s="130">
        <v>6.079545131060335</v>
      </c>
      <c r="BD5" s="130" t="s">
        <v>137</v>
      </c>
      <c r="BE5" s="130" t="s">
        <v>138</v>
      </c>
      <c r="BF5" s="130" t="s">
        <v>139</v>
      </c>
      <c r="BG5" s="130"/>
    </row>
    <row r="6">
      <c r="A6" s="130" t="s">
        <v>17</v>
      </c>
      <c r="B6" s="130">
        <v>2025.0</v>
      </c>
      <c r="C6" s="130">
        <v>1066.1220703125</v>
      </c>
      <c r="D6" s="130">
        <v>3.26673E10</v>
      </c>
      <c r="E6" s="130">
        <v>1.7258E10</v>
      </c>
      <c r="F6" s="130">
        <v>9.6094E9</v>
      </c>
      <c r="G6" s="130">
        <v>26.26</v>
      </c>
      <c r="H6" s="130">
        <v>7.372000000000001</v>
      </c>
      <c r="I6" s="130">
        <v>3.889E8</v>
      </c>
      <c r="J6" s="130">
        <v>1.10273E10</v>
      </c>
      <c r="K6" s="130"/>
      <c r="L6" s="130">
        <v>-1.6312E9</v>
      </c>
      <c r="M6" s="130">
        <v>2.5503E9</v>
      </c>
      <c r="N6" s="130">
        <v>1.2916E10</v>
      </c>
      <c r="O6" s="130">
        <v>3.06161E10</v>
      </c>
      <c r="P6" s="130">
        <v>5.05666E10</v>
      </c>
      <c r="Q6" s="130">
        <v>4.95781E10</v>
      </c>
      <c r="R6" s="130">
        <v>2.42639E10</v>
      </c>
      <c r="S6" s="130">
        <v>1.14293E10</v>
      </c>
      <c r="T6" s="130">
        <v>1.96122E10</v>
      </c>
      <c r="U6" s="130">
        <v>1.90445E10</v>
      </c>
      <c r="V6" s="130">
        <v>4.3909E9</v>
      </c>
      <c r="W6" s="130">
        <v>2.40031E10</v>
      </c>
      <c r="X6" s="130">
        <v>1.25503E10</v>
      </c>
      <c r="Y6" s="130">
        <v>1.15244E10</v>
      </c>
      <c r="Z6" s="130">
        <v>1.183E8</v>
      </c>
      <c r="AA6" s="130">
        <v>1.14061E10</v>
      </c>
      <c r="AB6" s="130">
        <v>2.0134E9</v>
      </c>
      <c r="AC6" s="130">
        <v>0.1765195816273748</v>
      </c>
      <c r="AD6" s="130"/>
      <c r="AE6" s="130">
        <v>0.5282958799778371</v>
      </c>
      <c r="AF6" s="130">
        <v>0.352780915472047</v>
      </c>
      <c r="AG6" s="130">
        <v>0.2941596030281046</v>
      </c>
      <c r="AH6" s="130">
        <v>0.5045761243403607</v>
      </c>
      <c r="AI6" s="130">
        <v>0.1938234825457208</v>
      </c>
      <c r="AJ6" s="130">
        <v>9.490117733493483E9</v>
      </c>
      <c r="AK6" s="130">
        <v>0.3953705035388547</v>
      </c>
      <c r="AL6" s="130">
        <v>0.2653963827085978</v>
      </c>
      <c r="AM6" s="130">
        <v>0.2312714807795199</v>
      </c>
      <c r="AN6" s="130">
        <v>0.2238861524969152</v>
      </c>
      <c r="AO6" s="130">
        <v>97.4167371090448</v>
      </c>
      <c r="AP6" s="130"/>
      <c r="AQ6" s="130">
        <v>-8.5251E9</v>
      </c>
      <c r="AR6" s="130">
        <v>-0.6792745990135693</v>
      </c>
      <c r="AS6" s="130">
        <v>1.26179633117512</v>
      </c>
      <c r="AT6" s="130">
        <v>0.7907549899233017</v>
      </c>
      <c r="AU6" s="130">
        <v>0.5323134368341446</v>
      </c>
      <c r="AV6" s="130">
        <v>4.146148731445312E11</v>
      </c>
      <c r="AW6" s="130">
        <v>4.060897731445312E11</v>
      </c>
      <c r="AX6" s="130">
        <v>40.59870793269231</v>
      </c>
      <c r="AY6" s="130">
        <v>12.69204596475776</v>
      </c>
      <c r="AZ6" s="130">
        <v>37.59894744357469</v>
      </c>
      <c r="BA6" s="130">
        <v>32.35697737460708</v>
      </c>
      <c r="BB6" s="130">
        <v>0.006914780403935482</v>
      </c>
      <c r="BC6" s="130">
        <v>21.14066107548012</v>
      </c>
      <c r="BD6" s="130" t="s">
        <v>135</v>
      </c>
      <c r="BE6" s="130" t="s">
        <v>129</v>
      </c>
      <c r="BF6" s="130" t="s">
        <v>136</v>
      </c>
      <c r="BG6" s="130"/>
    </row>
    <row r="7">
      <c r="A7" s="130" t="s">
        <v>28</v>
      </c>
      <c r="B7" s="130">
        <v>2025.0</v>
      </c>
      <c r="C7" s="130">
        <v>89.74137115478516</v>
      </c>
      <c r="D7" s="130">
        <v>2.0901E10</v>
      </c>
      <c r="E7" s="130">
        <v>7.44E9</v>
      </c>
      <c r="F7" s="130">
        <v>1.942E9</v>
      </c>
      <c r="G7" s="130">
        <v>4.26</v>
      </c>
      <c r="H7" s="130">
        <v>2.33</v>
      </c>
      <c r="I7" s="130">
        <v>4.56E8</v>
      </c>
      <c r="J7" s="130">
        <v>2.003E9</v>
      </c>
      <c r="K7" s="130">
        <v>2.953E9</v>
      </c>
      <c r="L7" s="130">
        <v>-9.5E8</v>
      </c>
      <c r="M7" s="130">
        <v>9.27E8</v>
      </c>
      <c r="N7" s="130">
        <v>9.18E8</v>
      </c>
      <c r="O7" s="130">
        <v>6.079E9</v>
      </c>
      <c r="P7" s="130">
        <v>2.9872E10</v>
      </c>
      <c r="Q7" s="130">
        <v>3.0486E10</v>
      </c>
      <c r="R7" s="130">
        <v>7.585E9</v>
      </c>
      <c r="S7" s="130">
        <v>1.547E9</v>
      </c>
      <c r="T7" s="130">
        <v>7.835E9</v>
      </c>
      <c r="U7" s="130">
        <v>8.162E9</v>
      </c>
      <c r="V7" s="130">
        <v>1.0694E10</v>
      </c>
      <c r="W7" s="130">
        <v>1.783E10</v>
      </c>
      <c r="X7" s="130">
        <v>3.766E9</v>
      </c>
      <c r="Y7" s="130">
        <v>2.843E9</v>
      </c>
      <c r="Z7" s="130">
        <v>2.74E8</v>
      </c>
      <c r="AA7" s="130">
        <v>2.569E9</v>
      </c>
      <c r="AB7" s="130">
        <v>5.9E8</v>
      </c>
      <c r="AC7" s="130">
        <v>0.2296613468275594</v>
      </c>
      <c r="AD7" s="130"/>
      <c r="AE7" s="130">
        <v>0.355963829481843</v>
      </c>
      <c r="AF7" s="130">
        <v>0.1360221998947419</v>
      </c>
      <c r="AG7" s="130">
        <v>0.0929142146308789</v>
      </c>
      <c r="AH7" s="130">
        <v>0.2379318794413134</v>
      </c>
      <c r="AI7" s="130">
        <v>0.06370137112117037</v>
      </c>
      <c r="AJ7" s="130">
        <v>2.190072790969249E9</v>
      </c>
      <c r="AK7" s="130">
        <v>0.1228307790784772</v>
      </c>
      <c r="AL7" s="130">
        <v>0.4773429454170958</v>
      </c>
      <c r="AM7" s="130">
        <v>0.4628057913130305</v>
      </c>
      <c r="AN7" s="130">
        <v>1.364901084875559</v>
      </c>
      <c r="AO7" s="130">
        <v>10.37591240875912</v>
      </c>
      <c r="AP7" s="130">
        <v>0.2761361511127735</v>
      </c>
      <c r="AQ7" s="130">
        <v>9.776E9</v>
      </c>
      <c r="AR7" s="130">
        <v>2.595857673924588</v>
      </c>
      <c r="AS7" s="130">
        <v>0.8014502307185234</v>
      </c>
      <c r="AT7" s="130">
        <v>0.5974950560316414</v>
      </c>
      <c r="AU7" s="130">
        <v>0.1210283454185893</v>
      </c>
      <c r="AV7" s="130">
        <v>4.092206524658203E10</v>
      </c>
      <c r="AW7" s="130">
        <v>5.069806524658203E10</v>
      </c>
      <c r="AX7" s="130">
        <v>21.06604956685098</v>
      </c>
      <c r="AY7" s="130">
        <v>1.957899873048277</v>
      </c>
      <c r="AZ7" s="130">
        <v>20.43038704272692</v>
      </c>
      <c r="BA7" s="130">
        <v>13.46204600280989</v>
      </c>
      <c r="BB7" s="130">
        <v>0.02596349899737141</v>
      </c>
      <c r="BC7" s="130">
        <v>5.222982162933252</v>
      </c>
      <c r="BD7" s="130" t="s">
        <v>168</v>
      </c>
      <c r="BE7" s="130" t="s">
        <v>161</v>
      </c>
      <c r="BF7" s="130" t="s">
        <v>164</v>
      </c>
      <c r="BG7" s="130"/>
    </row>
    <row r="8">
      <c r="A8" s="130" t="s">
        <v>27</v>
      </c>
      <c r="B8" s="130">
        <v>2025.0</v>
      </c>
      <c r="C8" s="130">
        <v>208.75</v>
      </c>
      <c r="D8" s="130">
        <v>5.4774E10</v>
      </c>
      <c r="E8" s="130">
        <v>3.0968E10</v>
      </c>
      <c r="F8" s="130">
        <v>4.987E9</v>
      </c>
      <c r="G8" s="130">
        <v>36.21</v>
      </c>
      <c r="H8" s="130"/>
      <c r="I8" s="130">
        <v>1.37743676E8</v>
      </c>
      <c r="J8" s="130">
        <v>4.418E9</v>
      </c>
      <c r="K8" s="130">
        <v>1.6077E10</v>
      </c>
      <c r="L8" s="130">
        <v>-1.1659E10</v>
      </c>
      <c r="M8" s="130"/>
      <c r="N8" s="130">
        <v>4.77E8</v>
      </c>
      <c r="O8" s="130">
        <v>5.144E9</v>
      </c>
      <c r="P8" s="130">
        <v>1.54213E11</v>
      </c>
      <c r="Q8" s="130">
        <v>1.521165E11</v>
      </c>
      <c r="R8" s="130">
        <v>1.3306E10</v>
      </c>
      <c r="S8" s="130"/>
      <c r="T8" s="130">
        <v>1.6054E10</v>
      </c>
      <c r="U8" s="130">
        <v>1.58205E10</v>
      </c>
      <c r="V8" s="130">
        <v>9.7121E10</v>
      </c>
      <c r="W8" s="130">
        <v>1.13175E11</v>
      </c>
      <c r="X8" s="130">
        <v>2.1211E10</v>
      </c>
      <c r="Y8" s="130">
        <v>1.25E10</v>
      </c>
      <c r="Z8" s="130">
        <v>5.042E9</v>
      </c>
      <c r="AA8" s="130">
        <v>7.458E9</v>
      </c>
      <c r="AB8" s="130">
        <v>1.692E9</v>
      </c>
      <c r="AC8" s="130">
        <v>0.2268704746580853</v>
      </c>
      <c r="AD8" s="130"/>
      <c r="AE8" s="130">
        <v>0.5653777339613685</v>
      </c>
      <c r="AF8" s="130">
        <v>0.2282104648190748</v>
      </c>
      <c r="AG8" s="130">
        <v>0.09104684704421806</v>
      </c>
      <c r="AH8" s="130">
        <v>0.3152239183338074</v>
      </c>
      <c r="AI8" s="130">
        <v>0.03278408325198121</v>
      </c>
      <c r="AJ8" s="130">
        <v>9.664119066773933E9</v>
      </c>
      <c r="AK8" s="130">
        <v>0.08539093498364421</v>
      </c>
      <c r="AL8" s="130"/>
      <c r="AM8" s="130"/>
      <c r="AN8" s="130">
        <v>6.049644948299489</v>
      </c>
      <c r="AO8" s="130">
        <v>2.479174930583102</v>
      </c>
      <c r="AP8" s="130">
        <v>0.1655357749611309</v>
      </c>
      <c r="AQ8" s="130">
        <v>9.6644E10</v>
      </c>
      <c r="AR8" s="130">
        <v>4.55631511951346</v>
      </c>
      <c r="AS8" s="130">
        <v>0.3865925146550429</v>
      </c>
      <c r="AT8" s="130">
        <v>0.3865925146550429</v>
      </c>
      <c r="AU8" s="130">
        <v>0.03584848940327671</v>
      </c>
      <c r="AV8" s="130">
        <v>2.8753992365E10</v>
      </c>
      <c r="AW8" s="130">
        <v>1.25397992365E11</v>
      </c>
      <c r="AX8" s="130">
        <v>5.764982049157691</v>
      </c>
      <c r="AY8" s="130">
        <v>0.5249569570416621</v>
      </c>
      <c r="AZ8" s="130">
        <v>6.50837310208239</v>
      </c>
      <c r="BA8" s="130">
        <v>5.911932127905332</v>
      </c>
      <c r="BB8" s="130"/>
      <c r="BC8" s="130">
        <v>1.791079629064408</v>
      </c>
      <c r="BD8" s="130" t="s">
        <v>152</v>
      </c>
      <c r="BE8" s="130" t="s">
        <v>145</v>
      </c>
      <c r="BF8" s="130" t="s">
        <v>151</v>
      </c>
      <c r="BG8" s="130"/>
    </row>
    <row r="9">
      <c r="A9" s="130" t="s">
        <v>11</v>
      </c>
      <c r="B9" s="130">
        <v>2025.0</v>
      </c>
      <c r="C9" s="130">
        <v>859.915771484375</v>
      </c>
      <c r="D9" s="130">
        <v>2.75235E11</v>
      </c>
      <c r="E9" s="130">
        <v>3.5349E10</v>
      </c>
      <c r="F9" s="130">
        <v>8.099E9</v>
      </c>
      <c r="G9" s="130">
        <v>18.21</v>
      </c>
      <c r="H9" s="130">
        <v>5.06</v>
      </c>
      <c r="I9" s="130">
        <v>4.44803E8</v>
      </c>
      <c r="J9" s="130">
        <v>7.837E9</v>
      </c>
      <c r="K9" s="130">
        <v>1.3335E10</v>
      </c>
      <c r="L9" s="130">
        <v>-5.498E9</v>
      </c>
      <c r="M9" s="130">
        <v>1.251E9</v>
      </c>
      <c r="N9" s="130">
        <v>1.4161E10</v>
      </c>
      <c r="O9" s="130">
        <v>3.838E10</v>
      </c>
      <c r="P9" s="130">
        <v>7.7099E10</v>
      </c>
      <c r="Q9" s="130">
        <v>7.3465E10</v>
      </c>
      <c r="R9" s="130">
        <v>3.7108E10</v>
      </c>
      <c r="S9" s="130">
        <v>1.8116E10</v>
      </c>
      <c r="T9" s="130">
        <v>2.9164E10</v>
      </c>
      <c r="U9" s="130">
        <v>2.6393E10</v>
      </c>
      <c r="V9" s="130">
        <v>8.173E9</v>
      </c>
      <c r="W9" s="130">
        <v>3.4877E10</v>
      </c>
      <c r="X9" s="130">
        <v>1.3398E10</v>
      </c>
      <c r="Y9" s="130">
        <v>1.0972E10</v>
      </c>
      <c r="Z9" s="130">
        <v>1.54E8</v>
      </c>
      <c r="AA9" s="130">
        <v>1.0818E10</v>
      </c>
      <c r="AB9" s="130">
        <v>2.719E9</v>
      </c>
      <c r="AC9" s="130">
        <v>0.2513403586614901</v>
      </c>
      <c r="AD9" s="130"/>
      <c r="AE9" s="130">
        <v>0.1284320671426236</v>
      </c>
      <c r="AF9" s="130">
        <v>0.03986411611895289</v>
      </c>
      <c r="AG9" s="130">
        <v>0.02942576343851618</v>
      </c>
      <c r="AH9" s="130">
        <v>0.3068616678664797</v>
      </c>
      <c r="AI9" s="130">
        <v>0.1102429728442115</v>
      </c>
      <c r="AJ9" s="130">
        <v>8.214293584766129E9</v>
      </c>
      <c r="AK9" s="130">
        <v>0.2355217932954706</v>
      </c>
      <c r="AL9" s="130">
        <v>0.1544635140140758</v>
      </c>
      <c r="AM9" s="130">
        <v>0.1596274084471099</v>
      </c>
      <c r="AN9" s="130">
        <v>0.2802427650528048</v>
      </c>
      <c r="AO9" s="130">
        <v>71.24675324675324</v>
      </c>
      <c r="AP9" s="130">
        <v>1.631591826746605</v>
      </c>
      <c r="AQ9" s="130">
        <v>-5.988E9</v>
      </c>
      <c r="AR9" s="130">
        <v>-0.4469323779668607</v>
      </c>
      <c r="AS9" s="130">
        <v>1.034278322733642</v>
      </c>
      <c r="AT9" s="130">
        <v>0.5460817074485286</v>
      </c>
      <c r="AU9" s="130">
        <v>0.3816158240810607</v>
      </c>
      <c r="AV9" s="130">
        <v>3.824931149035645E11</v>
      </c>
      <c r="AW9" s="130">
        <v>3.765051149035645E11</v>
      </c>
      <c r="AX9" s="130">
        <v>47.22217306339236</v>
      </c>
      <c r="AY9" s="130">
        <v>1.389696495371462</v>
      </c>
      <c r="AZ9" s="130">
        <v>48.80606289441935</v>
      </c>
      <c r="BA9" s="130">
        <v>28.10159090189315</v>
      </c>
      <c r="BB9" s="130">
        <v>0.005884297239095285</v>
      </c>
      <c r="BC9" s="130">
        <v>13.11524876229476</v>
      </c>
      <c r="BD9" s="130" t="s">
        <v>160</v>
      </c>
      <c r="BE9" s="130" t="s">
        <v>161</v>
      </c>
      <c r="BF9" s="130" t="s">
        <v>162</v>
      </c>
      <c r="BG9" s="130"/>
    </row>
    <row r="10">
      <c r="A10" s="130" t="s">
        <v>20</v>
      </c>
      <c r="B10" s="130">
        <v>2025.0</v>
      </c>
      <c r="C10" s="130">
        <v>122.0468826293945</v>
      </c>
      <c r="D10" s="130">
        <v>2.9442E10</v>
      </c>
      <c r="E10" s="130">
        <v>2.3208E10</v>
      </c>
      <c r="F10" s="130">
        <v>8.51E9</v>
      </c>
      <c r="G10" s="130">
        <v>6.78</v>
      </c>
      <c r="H10" s="130">
        <v>3.16</v>
      </c>
      <c r="I10" s="130">
        <v>1.255E9</v>
      </c>
      <c r="J10" s="130">
        <v>9.456E9</v>
      </c>
      <c r="K10" s="130">
        <v>1.0019E10</v>
      </c>
      <c r="L10" s="130">
        <v>-5.63E8</v>
      </c>
      <c r="M10" s="130">
        <v>4.003E9</v>
      </c>
      <c r="N10" s="130">
        <v>7.564E9</v>
      </c>
      <c r="O10" s="130">
        <v>1.8342E10</v>
      </c>
      <c r="P10" s="130">
        <v>5.9023E10</v>
      </c>
      <c r="Q10" s="130">
        <v>5.9009E10</v>
      </c>
      <c r="R10" s="130">
        <v>1.1813E10</v>
      </c>
      <c r="S10" s="130">
        <v>1.774E9</v>
      </c>
      <c r="T10" s="130">
        <v>2.2702E10</v>
      </c>
      <c r="U10" s="130">
        <v>2.1016E10</v>
      </c>
      <c r="V10" s="130">
        <v>2.4936E10</v>
      </c>
      <c r="W10" s="130">
        <v>4.7638E10</v>
      </c>
      <c r="X10" s="130">
        <v>1.358E10</v>
      </c>
      <c r="Y10" s="130">
        <v>1.082E10</v>
      </c>
      <c r="Z10" s="130">
        <v>1.024E9</v>
      </c>
      <c r="AA10" s="130">
        <v>9.796E9</v>
      </c>
      <c r="AB10" s="130">
        <v>1.286E9</v>
      </c>
      <c r="AC10" s="130">
        <v>0.1312780726827276</v>
      </c>
      <c r="AD10" s="130"/>
      <c r="AE10" s="130">
        <v>0.7882616670063175</v>
      </c>
      <c r="AF10" s="130">
        <v>0.3675022077304531</v>
      </c>
      <c r="AG10" s="130">
        <v>0.2890428639358739</v>
      </c>
      <c r="AH10" s="130">
        <v>0.4049295774647887</v>
      </c>
      <c r="AI10" s="130">
        <v>0.1442152891931739</v>
      </c>
      <c r="AJ10" s="130">
        <v>9.399571253572887E9</v>
      </c>
      <c r="AK10" s="130">
        <v>0.1973124659635771</v>
      </c>
      <c r="AL10" s="130">
        <v>0.4703877790834313</v>
      </c>
      <c r="AM10" s="130">
        <v>0.42332910321489</v>
      </c>
      <c r="AN10" s="130">
        <v>1.09840542683464</v>
      </c>
      <c r="AO10" s="130">
        <v>10.56640625</v>
      </c>
      <c r="AP10" s="130">
        <v>0.4017885787616298</v>
      </c>
      <c r="AQ10" s="130">
        <v>1.7372E10</v>
      </c>
      <c r="AR10" s="130">
        <v>1.279234167893962</v>
      </c>
      <c r="AS10" s="130">
        <v>1.552696182172183</v>
      </c>
      <c r="AT10" s="130">
        <v>1.402522644544146</v>
      </c>
      <c r="AU10" s="130">
        <v>0.6403115212054517</v>
      </c>
      <c r="AV10" s="130">
        <v>1.531688376998901E11</v>
      </c>
      <c r="AW10" s="130">
        <v>1.705408376998901E11</v>
      </c>
      <c r="AX10" s="130">
        <v>18.00101513707884</v>
      </c>
      <c r="AY10" s="130">
        <v>5.202392422386052</v>
      </c>
      <c r="AZ10" s="130">
        <v>16.19805813239109</v>
      </c>
      <c r="BA10" s="130">
        <v>12.55823547127321</v>
      </c>
      <c r="BB10" s="130">
        <v>0.02589168958616995</v>
      </c>
      <c r="BC10" s="130">
        <v>6.746931446563745</v>
      </c>
      <c r="BD10" s="130" t="s">
        <v>156</v>
      </c>
      <c r="BE10" s="130" t="s">
        <v>154</v>
      </c>
      <c r="BF10" s="130" t="s">
        <v>155</v>
      </c>
      <c r="BG10" s="130"/>
    </row>
    <row r="11">
      <c r="A11" s="130" t="s">
        <v>9</v>
      </c>
      <c r="B11" s="130">
        <v>2025.0</v>
      </c>
      <c r="C11" s="130">
        <v>312.7798156738281</v>
      </c>
      <c r="D11" s="130">
        <v>4.02836E11</v>
      </c>
      <c r="E11" s="130">
        <v>2.40301E11</v>
      </c>
      <c r="F11" s="130">
        <v>1.3217E11</v>
      </c>
      <c r="G11" s="130">
        <v>10.81</v>
      </c>
      <c r="H11" s="130">
        <v>0.83</v>
      </c>
      <c r="I11" s="130">
        <v>1.223E10</v>
      </c>
      <c r="J11" s="130">
        <v>7.3266E10</v>
      </c>
      <c r="K11" s="130">
        <v>1.64713E11</v>
      </c>
      <c r="L11" s="130">
        <v>-9.1447E10</v>
      </c>
      <c r="M11" s="130">
        <v>1.0049E10</v>
      </c>
      <c r="N11" s="130">
        <v>3.0708E10</v>
      </c>
      <c r="O11" s="130">
        <v>2.06038E11</v>
      </c>
      <c r="P11" s="130">
        <v>5.95281E11</v>
      </c>
      <c r="Q11" s="130">
        <v>5.227685E11</v>
      </c>
      <c r="R11" s="130">
        <v>1.02745E11</v>
      </c>
      <c r="S11" s="130">
        <v>2.67E9</v>
      </c>
      <c r="T11" s="130">
        <v>4.15265E11</v>
      </c>
      <c r="U11" s="130">
        <v>3.701745E11</v>
      </c>
      <c r="V11" s="130">
        <v>5.9291E10</v>
      </c>
      <c r="W11" s="130">
        <v>4.61812E11</v>
      </c>
      <c r="X11" s="130">
        <v>1.80698E11</v>
      </c>
      <c r="Y11" s="130">
        <v>1.59562E11</v>
      </c>
      <c r="Z11" s="130">
        <v>7.36E8</v>
      </c>
      <c r="AA11" s="130">
        <v>1.58826E11</v>
      </c>
      <c r="AB11" s="130">
        <v>2.6656E10</v>
      </c>
      <c r="AC11" s="130">
        <v>0.1678314633624218</v>
      </c>
      <c r="AD11" s="130"/>
      <c r="AE11" s="130">
        <v>0.5965231508603998</v>
      </c>
      <c r="AF11" s="130">
        <v>0.3960966745772473</v>
      </c>
      <c r="AG11" s="130">
        <v>0.3280987796522654</v>
      </c>
      <c r="AH11" s="130">
        <v>0.3570478247421149</v>
      </c>
      <c r="AI11" s="130">
        <v>0.252827016164899</v>
      </c>
      <c r="AJ11" s="130">
        <v>1.327824760429653E11</v>
      </c>
      <c r="AK11" s="130">
        <v>0.2875249583011382</v>
      </c>
      <c r="AL11" s="130">
        <v>0.07603086933494742</v>
      </c>
      <c r="AM11" s="130">
        <v>0.1371577539377064</v>
      </c>
      <c r="AN11" s="130">
        <v>0.1427787075722731</v>
      </c>
      <c r="AO11" s="130">
        <v>216.7961956521739</v>
      </c>
      <c r="AP11" s="130">
        <v>2.778043885243966</v>
      </c>
      <c r="AQ11" s="130">
        <v>2.8583E10</v>
      </c>
      <c r="AR11" s="130">
        <v>0.1581810534704313</v>
      </c>
      <c r="AS11" s="130">
        <v>2.005333592875566</v>
      </c>
      <c r="AT11" s="130">
        <v>1.979346926857755</v>
      </c>
      <c r="AU11" s="130">
        <v>0.2988758577059711</v>
      </c>
      <c r="AV11" s="130">
        <v>3.825297145690918E12</v>
      </c>
      <c r="AW11" s="130">
        <v>3.853880145690918E12</v>
      </c>
      <c r="AX11" s="130">
        <v>28.93430302255579</v>
      </c>
      <c r="AY11" s="130">
        <v>9.495916814015922</v>
      </c>
      <c r="AZ11" s="130">
        <v>52.21108216213411</v>
      </c>
      <c r="BA11" s="130">
        <v>21.32774101368537</v>
      </c>
      <c r="BB11" s="130">
        <v>0.002653623918192782</v>
      </c>
      <c r="BC11" s="130">
        <v>9.211701312874714</v>
      </c>
      <c r="BD11" s="130" t="s">
        <v>144</v>
      </c>
      <c r="BE11" s="130" t="s">
        <v>145</v>
      </c>
      <c r="BF11" s="130" t="s">
        <v>146</v>
      </c>
      <c r="BG11" s="130"/>
    </row>
    <row r="12">
      <c r="A12" s="130" t="s">
        <v>26</v>
      </c>
      <c r="B12" s="130">
        <v>2025.0</v>
      </c>
      <c r="C12" s="130">
        <v>27.53677940368652</v>
      </c>
      <c r="D12" s="130">
        <v>1.6603E10</v>
      </c>
      <c r="E12" s="130">
        <v>8.999E9</v>
      </c>
      <c r="F12" s="130">
        <v>2.079E9</v>
      </c>
      <c r="G12" s="130">
        <v>1.53</v>
      </c>
      <c r="H12" s="130">
        <v>0.92</v>
      </c>
      <c r="I12" s="130">
        <v>1.3628E9</v>
      </c>
      <c r="J12" s="130">
        <v>1.488E9</v>
      </c>
      <c r="K12" s="130">
        <v>1.991E9</v>
      </c>
      <c r="L12" s="130">
        <v>-5.03E8</v>
      </c>
      <c r="M12" s="130">
        <v>1.142E9</v>
      </c>
      <c r="N12" s="130">
        <v>1.026E9</v>
      </c>
      <c r="O12" s="130">
        <v>5.266E9</v>
      </c>
      <c r="P12" s="130">
        <v>5.5459E10</v>
      </c>
      <c r="Q12" s="130">
        <v>5.44445E10</v>
      </c>
      <c r="R12" s="130">
        <v>8.29E9</v>
      </c>
      <c r="S12" s="130">
        <v>1.733E9</v>
      </c>
      <c r="T12" s="130">
        <v>2.5516E10</v>
      </c>
      <c r="U12" s="130">
        <v>2.48795E10</v>
      </c>
      <c r="V12" s="130">
        <v>1.6141E10</v>
      </c>
      <c r="W12" s="130">
        <v>4.1657E10</v>
      </c>
      <c r="X12" s="130">
        <v>4.194E9</v>
      </c>
      <c r="Y12" s="130">
        <v>3.441E9</v>
      </c>
      <c r="Z12" s="130">
        <v>7.54E8</v>
      </c>
      <c r="AA12" s="130">
        <v>2.687E9</v>
      </c>
      <c r="AB12" s="130">
        <v>6.08E8</v>
      </c>
      <c r="AC12" s="130">
        <v>0.226274655749907</v>
      </c>
      <c r="AD12" s="130"/>
      <c r="AE12" s="130">
        <v>0.5420104800337289</v>
      </c>
      <c r="AF12" s="130">
        <v>0.207251701499729</v>
      </c>
      <c r="AG12" s="130">
        <v>0.1252183340360176</v>
      </c>
      <c r="AH12" s="130">
        <v>0.08356277256375731</v>
      </c>
      <c r="AI12" s="130">
        <v>0.03818567532073947</v>
      </c>
      <c r="AJ12" s="130">
        <v>2.66238890956457E9</v>
      </c>
      <c r="AK12" s="130">
        <v>0.06391216145100632</v>
      </c>
      <c r="AL12" s="130">
        <v>0.5493025493025493</v>
      </c>
      <c r="AM12" s="130">
        <v>0.7674731182795699</v>
      </c>
      <c r="AN12" s="130">
        <v>0.6325834770340178</v>
      </c>
      <c r="AO12" s="130">
        <v>4.563660477453581</v>
      </c>
      <c r="AP12" s="130">
        <v>0.1233504739483303</v>
      </c>
      <c r="AQ12" s="130">
        <v>1.5115E10</v>
      </c>
      <c r="AR12" s="130">
        <v>3.603958035288507</v>
      </c>
      <c r="AS12" s="130">
        <v>0.6352231604342582</v>
      </c>
      <c r="AT12" s="130">
        <v>0.4261761158021713</v>
      </c>
      <c r="AU12" s="130">
        <v>0.1237635705669481</v>
      </c>
      <c r="AV12" s="130">
        <v>3.752712297134399E10</v>
      </c>
      <c r="AW12" s="130">
        <v>5.264212297134399E10</v>
      </c>
      <c r="AX12" s="130">
        <v>17.99789503508923</v>
      </c>
      <c r="AY12" s="130">
        <v>2.260261577506715</v>
      </c>
      <c r="AZ12" s="130">
        <v>25.21984070654838</v>
      </c>
      <c r="BA12" s="130">
        <v>12.55176990256175</v>
      </c>
      <c r="BB12" s="130">
        <v>0.03340986200720458</v>
      </c>
      <c r="BC12" s="130">
        <v>1.470729070831791</v>
      </c>
      <c r="BD12" s="130" t="s">
        <v>167</v>
      </c>
      <c r="BE12" s="130" t="s">
        <v>161</v>
      </c>
      <c r="BF12" s="130" t="s">
        <v>164</v>
      </c>
      <c r="BG12" s="130"/>
    </row>
    <row r="13">
      <c r="A13" s="130" t="s">
        <v>21</v>
      </c>
      <c r="B13" s="130">
        <v>2025.0</v>
      </c>
      <c r="C13" s="130">
        <v>53.36794281005859</v>
      </c>
      <c r="D13" s="130">
        <v>3.8537E10</v>
      </c>
      <c r="E13" s="130">
        <v>1.0935E10</v>
      </c>
      <c r="F13" s="130">
        <v>2.451E9</v>
      </c>
      <c r="G13" s="130">
        <v>1.89</v>
      </c>
      <c r="H13" s="130">
        <v>1.94</v>
      </c>
      <c r="I13" s="130">
        <v>1.298E9</v>
      </c>
      <c r="J13" s="130">
        <v>3.235E9</v>
      </c>
      <c r="K13" s="130">
        <v>4.514E9</v>
      </c>
      <c r="L13" s="130">
        <v>-1.279E9</v>
      </c>
      <c r="M13" s="130">
        <v>2.487E9</v>
      </c>
      <c r="N13" s="130">
        <v>2.125E9</v>
      </c>
      <c r="O13" s="130">
        <v>1.2951E10</v>
      </c>
      <c r="P13" s="130">
        <v>7.1487E10</v>
      </c>
      <c r="Q13" s="130">
        <v>6.9992E10</v>
      </c>
      <c r="R13" s="130">
        <v>2.1864E10</v>
      </c>
      <c r="S13" s="130">
        <v>4.419E9</v>
      </c>
      <c r="T13" s="130">
        <v>2.5838E10</v>
      </c>
      <c r="U13" s="130">
        <v>2.6385E10</v>
      </c>
      <c r="V13" s="130">
        <v>2.1804E10</v>
      </c>
      <c r="W13" s="130">
        <v>4.7043E10</v>
      </c>
      <c r="X13" s="130">
        <v>4.971E9</v>
      </c>
      <c r="Y13" s="130">
        <v>3.613E9</v>
      </c>
      <c r="Z13" s="130">
        <v>5.99E8</v>
      </c>
      <c r="AA13" s="130">
        <v>3.014E9</v>
      </c>
      <c r="AB13" s="130">
        <v>7.82E8</v>
      </c>
      <c r="AC13" s="130">
        <v>0.2594558725945587</v>
      </c>
      <c r="AD13" s="130"/>
      <c r="AE13" s="130">
        <v>0.2837532760723461</v>
      </c>
      <c r="AF13" s="130">
        <v>0.09375405454498274</v>
      </c>
      <c r="AG13" s="130">
        <v>0.06360121441731323</v>
      </c>
      <c r="AH13" s="130">
        <v>0.09289368959636157</v>
      </c>
      <c r="AI13" s="130">
        <v>0.03501828780432049</v>
      </c>
      <c r="AJ13" s="130">
        <v>2.675585932315859E9</v>
      </c>
      <c r="AK13" s="130">
        <v>0.05687532538987435</v>
      </c>
      <c r="AL13" s="130">
        <v>1.01468788249694</v>
      </c>
      <c r="AM13" s="130">
        <v>0.7687789799072643</v>
      </c>
      <c r="AN13" s="130">
        <v>0.8438733648115179</v>
      </c>
      <c r="AO13" s="130">
        <v>6.031719532554257</v>
      </c>
      <c r="AP13" s="130">
        <v>0.2070262337185838</v>
      </c>
      <c r="AQ13" s="130">
        <v>1.9679E10</v>
      </c>
      <c r="AR13" s="130">
        <v>3.95876081271374</v>
      </c>
      <c r="AS13" s="130">
        <v>0.5923435784851812</v>
      </c>
      <c r="AT13" s="130">
        <v>0.3902305159165752</v>
      </c>
      <c r="AU13" s="130">
        <v>0.09719173069886572</v>
      </c>
      <c r="AV13" s="130">
        <v>6.927158976745605E10</v>
      </c>
      <c r="AW13" s="130">
        <v>8.895058976745605E10</v>
      </c>
      <c r="AX13" s="130">
        <v>28.23700677780878</v>
      </c>
      <c r="AY13" s="130">
        <v>1.797534571125309</v>
      </c>
      <c r="AZ13" s="130">
        <v>21.41316530678703</v>
      </c>
      <c r="BA13" s="130">
        <v>17.89390258850454</v>
      </c>
      <c r="BB13" s="130">
        <v>0.03635141056316595</v>
      </c>
      <c r="BC13" s="130">
        <v>2.68099658516356</v>
      </c>
      <c r="BD13" s="130" t="s">
        <v>165</v>
      </c>
      <c r="BE13" s="130" t="s">
        <v>161</v>
      </c>
      <c r="BF13" s="130" t="s">
        <v>166</v>
      </c>
      <c r="BG13" s="130"/>
    </row>
    <row r="14">
      <c r="A14" s="130" t="s">
        <v>13</v>
      </c>
      <c r="B14" s="130">
        <v>2025.0</v>
      </c>
      <c r="C14" s="130">
        <v>2014.260009765625</v>
      </c>
      <c r="D14" s="130">
        <v>2.8893E10</v>
      </c>
      <c r="E14" s="130">
        <v>1.2858E10</v>
      </c>
      <c r="F14" s="130">
        <v>1.997E9</v>
      </c>
      <c r="G14" s="130">
        <v>39.4</v>
      </c>
      <c r="H14" s="130">
        <v>0.0</v>
      </c>
      <c r="I14" s="130">
        <v>5.069732E7</v>
      </c>
      <c r="J14" s="130">
        <v>1.0773E10</v>
      </c>
      <c r="K14" s="130">
        <v>1.2116E10</v>
      </c>
      <c r="L14" s="130">
        <v>-1.343E9</v>
      </c>
      <c r="M14" s="130">
        <v>0.0</v>
      </c>
      <c r="N14" s="130">
        <v>3.67E9</v>
      </c>
      <c r="O14" s="130">
        <v>3.3573E10</v>
      </c>
      <c r="P14" s="130">
        <v>4.2667E10</v>
      </c>
      <c r="Q14" s="130">
        <v>3.39315E10</v>
      </c>
      <c r="R14" s="130">
        <v>2.8633E10</v>
      </c>
      <c r="S14" s="130">
        <v>5.7E8</v>
      </c>
      <c r="T14" s="130">
        <v>6.748E9</v>
      </c>
      <c r="U14" s="130">
        <v>5.5495E9</v>
      </c>
      <c r="V14" s="130">
        <v>1.1392E10</v>
      </c>
      <c r="W14" s="130">
        <v>1.5811E10</v>
      </c>
      <c r="X14" s="130">
        <v>3.82E9</v>
      </c>
      <c r="Y14" s="130">
        <v>3.002E9</v>
      </c>
      <c r="Z14" s="130">
        <v>1.6E8</v>
      </c>
      <c r="AA14" s="130">
        <v>2.842E9</v>
      </c>
      <c r="AB14" s="130">
        <v>8.45E8</v>
      </c>
      <c r="AC14" s="130">
        <v>0.2973258268824771</v>
      </c>
      <c r="AD14" s="130"/>
      <c r="AE14" s="130">
        <v>0.4450212854324577</v>
      </c>
      <c r="AF14" s="130">
        <v>0.1039005987609456</v>
      </c>
      <c r="AG14" s="130">
        <v>0.06911708718374693</v>
      </c>
      <c r="AH14" s="130">
        <v>0.3598522389404451</v>
      </c>
      <c r="AI14" s="130">
        <v>0.05885386735039713</v>
      </c>
      <c r="AJ14" s="130">
        <v>2.109427867698804E9</v>
      </c>
      <c r="AK14" s="130">
        <v>0.1334152088861428</v>
      </c>
      <c r="AL14" s="130">
        <v>0.0</v>
      </c>
      <c r="AM14" s="130">
        <v>0.0</v>
      </c>
      <c r="AN14" s="130">
        <v>1.688203912270302</v>
      </c>
      <c r="AO14" s="130">
        <v>18.7625</v>
      </c>
      <c r="AP14" s="130">
        <v>1.063553370786517</v>
      </c>
      <c r="AQ14" s="130">
        <v>7.722E9</v>
      </c>
      <c r="AR14" s="130">
        <v>2.021465968586388</v>
      </c>
      <c r="AS14" s="130">
        <v>1.172528201725282</v>
      </c>
      <c r="AT14" s="130">
        <v>1.152621101526211</v>
      </c>
      <c r="AU14" s="130">
        <v>0.1281737854922642</v>
      </c>
      <c r="AV14" s="130">
        <v>1.02117584278291E11</v>
      </c>
      <c r="AW14" s="130">
        <v>1.09839584278291E11</v>
      </c>
      <c r="AX14" s="130">
        <v>51.12335050166561</v>
      </c>
      <c r="AY14" s="130">
        <v>3.534336492516908</v>
      </c>
      <c r="AZ14" s="130">
        <v>9.479029451247658</v>
      </c>
      <c r="BA14" s="130">
        <v>28.75381787389817</v>
      </c>
      <c r="BB14" s="130">
        <v>0.0</v>
      </c>
      <c r="BC14" s="130">
        <v>15.13301486044621</v>
      </c>
      <c r="BD14" s="130" t="s">
        <v>142</v>
      </c>
      <c r="BE14" s="130" t="s">
        <v>138</v>
      </c>
      <c r="BF14" s="130" t="s">
        <v>139</v>
      </c>
      <c r="BG14" s="130"/>
    </row>
    <row r="15">
      <c r="A15" s="130" t="s">
        <v>14</v>
      </c>
      <c r="B15" s="130">
        <v>2025.0</v>
      </c>
      <c r="C15" s="130">
        <v>659.5253295898438</v>
      </c>
      <c r="D15" s="130">
        <v>2.00966E11</v>
      </c>
      <c r="E15" s="130">
        <v>1.64791E11</v>
      </c>
      <c r="F15" s="130">
        <v>6.0458E10</v>
      </c>
      <c r="G15" s="130">
        <v>23.49</v>
      </c>
      <c r="H15" s="130">
        <v>2.1</v>
      </c>
      <c r="I15" s="130">
        <v>2.574E9</v>
      </c>
      <c r="J15" s="130">
        <v>4.6109E10</v>
      </c>
      <c r="K15" s="130">
        <v>1.158E11</v>
      </c>
      <c r="L15" s="130">
        <v>-6.9691E10</v>
      </c>
      <c r="M15" s="130">
        <v>5.324E9</v>
      </c>
      <c r="N15" s="130">
        <v>3.5873E10</v>
      </c>
      <c r="O15" s="130">
        <v>1.08722E11</v>
      </c>
      <c r="P15" s="130">
        <v>3.66021E11</v>
      </c>
      <c r="Q15" s="130">
        <v>3.210375E11</v>
      </c>
      <c r="R15" s="130">
        <v>4.1836E10</v>
      </c>
      <c r="S15" s="130"/>
      <c r="T15" s="130">
        <v>2.17243E11</v>
      </c>
      <c r="U15" s="130">
        <v>1.9994E11</v>
      </c>
      <c r="V15" s="130">
        <v>8.3897E10</v>
      </c>
      <c r="W15" s="130">
        <v>2.75987E11</v>
      </c>
      <c r="X15" s="130">
        <v>1.05713E11</v>
      </c>
      <c r="Y15" s="130">
        <v>8.7097E10</v>
      </c>
      <c r="Z15" s="130">
        <v>1.165E9</v>
      </c>
      <c r="AA15" s="130">
        <v>8.5932E10</v>
      </c>
      <c r="AB15" s="130">
        <v>2.5474E10</v>
      </c>
      <c r="AC15" s="130">
        <v>0.2964436996695061</v>
      </c>
      <c r="AD15" s="130"/>
      <c r="AE15" s="130">
        <v>0.8199944269179861</v>
      </c>
      <c r="AF15" s="130">
        <v>0.4333917180020501</v>
      </c>
      <c r="AG15" s="130">
        <v>0.3008369574952977</v>
      </c>
      <c r="AH15" s="130">
        <v>0.3023807142142643</v>
      </c>
      <c r="AI15" s="130">
        <v>0.1883206790483978</v>
      </c>
      <c r="AJ15" s="130">
        <v>6.127764308988503E10</v>
      </c>
      <c r="AK15" s="130">
        <v>0.2220309039552045</v>
      </c>
      <c r="AL15" s="130">
        <v>0.08806113334877105</v>
      </c>
      <c r="AM15" s="130">
        <v>0.1154655273373962</v>
      </c>
      <c r="AN15" s="130">
        <v>0.3861896585850867</v>
      </c>
      <c r="AO15" s="130">
        <v>74.76137339055794</v>
      </c>
      <c r="AP15" s="130">
        <v>1.380263895014124</v>
      </c>
      <c r="AQ15" s="130">
        <v>4.8024E10</v>
      </c>
      <c r="AR15" s="130">
        <v>0.4542866061884536</v>
      </c>
      <c r="AS15" s="130">
        <v>2.598766612486854</v>
      </c>
      <c r="AT15" s="130">
        <v>2.598766612486854</v>
      </c>
      <c r="AU15" s="130">
        <v>0.8574672530834688</v>
      </c>
      <c r="AV15" s="130">
        <v>1.697618198364258E12</v>
      </c>
      <c r="AW15" s="130">
        <v>1.745642198364258E12</v>
      </c>
      <c r="AX15" s="130">
        <v>28.07685524009552</v>
      </c>
      <c r="AY15" s="130">
        <v>8.447290578327966</v>
      </c>
      <c r="AZ15" s="130">
        <v>36.81750197064039</v>
      </c>
      <c r="BA15" s="130">
        <v>16.51303244032671</v>
      </c>
      <c r="BB15" s="130">
        <v>0.003184108184754605</v>
      </c>
      <c r="BC15" s="130">
        <v>7.814374678881519</v>
      </c>
      <c r="BD15" s="130" t="s">
        <v>147</v>
      </c>
      <c r="BE15" s="130" t="s">
        <v>145</v>
      </c>
      <c r="BF15" s="130" t="s">
        <v>146</v>
      </c>
      <c r="BG15" s="130"/>
    </row>
    <row r="16">
      <c r="A16" s="130" t="s">
        <v>12</v>
      </c>
      <c r="B16" s="130">
        <v>2025.0</v>
      </c>
      <c r="C16" s="130">
        <v>481.4758605957031</v>
      </c>
      <c r="D16" s="130">
        <v>2.81724E11</v>
      </c>
      <c r="E16" s="130">
        <v>1.93893E11</v>
      </c>
      <c r="F16" s="130">
        <v>1.01832E11</v>
      </c>
      <c r="G16" s="130">
        <v>13.64</v>
      </c>
      <c r="H16" s="130">
        <v>3.4</v>
      </c>
      <c r="I16" s="130">
        <v>7.465E9</v>
      </c>
      <c r="J16" s="130">
        <v>7.1611E10</v>
      </c>
      <c r="K16" s="130">
        <v>1.36162E11</v>
      </c>
      <c r="L16" s="130">
        <v>-6.4551E10</v>
      </c>
      <c r="M16" s="130">
        <v>2.4082E10</v>
      </c>
      <c r="N16" s="130">
        <v>3.0242E10</v>
      </c>
      <c r="O16" s="130">
        <v>1.91131E11</v>
      </c>
      <c r="P16" s="130">
        <v>6.19003E11</v>
      </c>
      <c r="Q16" s="130">
        <v>5.65583E11</v>
      </c>
      <c r="R16" s="130">
        <v>1.41218E11</v>
      </c>
      <c r="S16" s="130">
        <v>9.38E8</v>
      </c>
      <c r="T16" s="130">
        <v>3.43479E11</v>
      </c>
      <c r="U16" s="130">
        <v>3.05978E11</v>
      </c>
      <c r="V16" s="130">
        <v>6.0588E10</v>
      </c>
      <c r="W16" s="130">
        <v>3.8663E11</v>
      </c>
      <c r="X16" s="130">
        <v>1.60165E11</v>
      </c>
      <c r="Y16" s="130">
        <v>1.26012E11</v>
      </c>
      <c r="Z16" s="130">
        <v>2.385E9</v>
      </c>
      <c r="AA16" s="130">
        <v>1.23627E11</v>
      </c>
      <c r="AB16" s="130">
        <v>2.1795E10</v>
      </c>
      <c r="AC16" s="130">
        <v>0.1762964400980368</v>
      </c>
      <c r="AD16" s="130"/>
      <c r="AE16" s="130">
        <v>0.6882374238616519</v>
      </c>
      <c r="AF16" s="130">
        <v>0.447288835881927</v>
      </c>
      <c r="AG16" s="130">
        <v>0.3614601524896707</v>
      </c>
      <c r="AH16" s="130">
        <v>0.3328082411153743</v>
      </c>
      <c r="AI16" s="130">
        <v>0.1800478444366256</v>
      </c>
      <c r="AJ16" s="130">
        <v>1.037965329903662E11</v>
      </c>
      <c r="AK16" s="130">
        <v>0.2684647673237105</v>
      </c>
      <c r="AL16" s="130">
        <v>0.2364875481184696</v>
      </c>
      <c r="AM16" s="130">
        <v>0.3362891175936658</v>
      </c>
      <c r="AN16" s="130">
        <v>0.1763950634536609</v>
      </c>
      <c r="AO16" s="130">
        <v>52.83522012578617</v>
      </c>
      <c r="AP16" s="130">
        <v>2.247342708127022</v>
      </c>
      <c r="AQ16" s="130">
        <v>3.0346E10</v>
      </c>
      <c r="AR16" s="130">
        <v>0.189467112040708</v>
      </c>
      <c r="AS16" s="130">
        <v>1.353446444504242</v>
      </c>
      <c r="AT16" s="130">
        <v>1.346804231755159</v>
      </c>
      <c r="AU16" s="130">
        <v>0.2141511705306689</v>
      </c>
      <c r="AV16" s="130">
        <v>3.594217299346924E12</v>
      </c>
      <c r="AW16" s="130">
        <v>3.624563299346924E12</v>
      </c>
      <c r="AX16" s="130">
        <v>35.29881675921577</v>
      </c>
      <c r="AY16" s="130">
        <v>12.75793790854497</v>
      </c>
      <c r="AZ16" s="130">
        <v>50.19085474783098</v>
      </c>
      <c r="BA16" s="130">
        <v>22.63018324444744</v>
      </c>
      <c r="BB16" s="130">
        <v>0.00706162089994163</v>
      </c>
      <c r="BC16" s="130">
        <v>10.46415442966506</v>
      </c>
      <c r="BD16" s="130" t="s">
        <v>131</v>
      </c>
      <c r="BE16" s="130" t="s">
        <v>129</v>
      </c>
      <c r="BF16" s="130" t="s">
        <v>132</v>
      </c>
      <c r="BG16" s="130"/>
    </row>
    <row r="17">
      <c r="A17" s="130" t="s">
        <v>19</v>
      </c>
      <c r="B17" s="130">
        <v>2025.0</v>
      </c>
      <c r="C17" s="130">
        <v>93.76000213623047</v>
      </c>
      <c r="D17" s="130">
        <v>4.5183036E10</v>
      </c>
      <c r="E17" s="130">
        <v>2.1907707E10</v>
      </c>
      <c r="F17" s="130">
        <v>1.0981201E10</v>
      </c>
      <c r="G17" s="130">
        <v>2.53</v>
      </c>
      <c r="H17" s="130"/>
      <c r="I17" s="130">
        <v>4.343863E9</v>
      </c>
      <c r="J17" s="130">
        <v>9.461053E9</v>
      </c>
      <c r="K17" s="130">
        <v>1.0149273E10</v>
      </c>
      <c r="L17" s="130">
        <v>-6.8822E8</v>
      </c>
      <c r="M17" s="130"/>
      <c r="N17" s="130">
        <v>9.033681E9</v>
      </c>
      <c r="O17" s="130">
        <v>1.3020191E10</v>
      </c>
      <c r="P17" s="130">
        <v>5.5596993E10</v>
      </c>
      <c r="Q17" s="130">
        <v>5.46136835E10</v>
      </c>
      <c r="R17" s="130">
        <v>1.098093E10</v>
      </c>
      <c r="S17" s="130"/>
      <c r="T17" s="130">
        <v>2.6615488E10</v>
      </c>
      <c r="U17" s="130">
        <v>2.56795275E10</v>
      </c>
      <c r="V17" s="130">
        <v>1.4462836E10</v>
      </c>
      <c r="W17" s="130">
        <v>4.1078324E10</v>
      </c>
      <c r="X17" s="130">
        <v>3.0254617E10</v>
      </c>
      <c r="Y17" s="130">
        <v>1.3499062E10</v>
      </c>
      <c r="Z17" s="130">
        <v>7.7651E8</v>
      </c>
      <c r="AA17" s="130">
        <v>1.2722552E10</v>
      </c>
      <c r="AB17" s="130">
        <v>1.741351E9</v>
      </c>
      <c r="AC17" s="130">
        <v>0.1368712031988551</v>
      </c>
      <c r="AD17" s="130"/>
      <c r="AE17" s="130">
        <v>0.4848657580247596</v>
      </c>
      <c r="AF17" s="130">
        <v>0.2987639431754874</v>
      </c>
      <c r="AG17" s="130">
        <v>0.2430381393583202</v>
      </c>
      <c r="AH17" s="130">
        <v>0.4276247294659141</v>
      </c>
      <c r="AI17" s="130">
        <v>0.2010705064418517</v>
      </c>
      <c r="AJ17" s="130">
        <v>1.165142914200406E10</v>
      </c>
      <c r="AK17" s="130">
        <v>0.2836393505734084</v>
      </c>
      <c r="AL17" s="130"/>
      <c r="AM17" s="130"/>
      <c r="AN17" s="130">
        <v>0.5433992418249104</v>
      </c>
      <c r="AO17" s="130">
        <v>17.38427322249553</v>
      </c>
      <c r="AP17" s="130">
        <v>0.7017484675896207</v>
      </c>
      <c r="AQ17" s="130">
        <v>5.429155E9</v>
      </c>
      <c r="AR17" s="130">
        <v>0.1794488094164272</v>
      </c>
      <c r="AS17" s="130">
        <v>1.185709316059751</v>
      </c>
      <c r="AT17" s="130">
        <v>1.185709316059751</v>
      </c>
      <c r="AU17" s="130">
        <v>0.8226699377921542</v>
      </c>
      <c r="AV17" s="130">
        <v>4.072806041594925E11</v>
      </c>
      <c r="AW17" s="130">
        <v>4.127097591594925E11</v>
      </c>
      <c r="AX17" s="130">
        <v>37.05928938190928</v>
      </c>
      <c r="AY17" s="130">
        <v>9.01401588329506</v>
      </c>
      <c r="AZ17" s="130">
        <v>43.04812626665261</v>
      </c>
      <c r="BA17" s="130">
        <v>13.64121579061776</v>
      </c>
      <c r="BB17" s="130"/>
      <c r="BC17" s="130">
        <v>15.30239100479738</v>
      </c>
      <c r="BD17" s="130" t="s">
        <v>148</v>
      </c>
      <c r="BE17" s="130" t="s">
        <v>145</v>
      </c>
      <c r="BF17" s="130" t="s">
        <v>149</v>
      </c>
      <c r="BG17" s="130"/>
    </row>
    <row r="18">
      <c r="A18" s="130" t="s">
        <v>23</v>
      </c>
      <c r="B18" s="130">
        <v>2025.0</v>
      </c>
      <c r="C18" s="130">
        <v>113.3899993896484</v>
      </c>
      <c r="D18" s="130">
        <v>4.31845713E11</v>
      </c>
      <c r="E18" s="130">
        <v>2.4304396E11</v>
      </c>
      <c r="F18" s="130">
        <v>9.7842539E10</v>
      </c>
      <c r="G18" s="130">
        <v>66.0</v>
      </c>
      <c r="H18" s="130"/>
      <c r="I18" s="130">
        <v>1.482394E9</v>
      </c>
      <c r="J18" s="130">
        <v>1.05793613E11</v>
      </c>
      <c r="K18" s="130">
        <v>1.0693869E11</v>
      </c>
      <c r="L18" s="130">
        <v>-1.145077E9</v>
      </c>
      <c r="M18" s="130"/>
      <c r="N18" s="130">
        <v>1.08900587E11</v>
      </c>
      <c r="O18" s="130">
        <v>5.18979892E11</v>
      </c>
      <c r="P18" s="130">
        <v>6.30044327E11</v>
      </c>
      <c r="Q18" s="130">
        <v>5.675393215E11</v>
      </c>
      <c r="R18" s="130">
        <v>2.13737168E11</v>
      </c>
      <c r="S18" s="130"/>
      <c r="T18" s="130">
        <v>4.13385156E11</v>
      </c>
      <c r="U18" s="130">
        <v>3.6334914E11</v>
      </c>
      <c r="V18" s="130">
        <v>5.378795E9</v>
      </c>
      <c r="W18" s="130">
        <v>4.13385156E11</v>
      </c>
      <c r="X18" s="130">
        <v>1.22446654E11</v>
      </c>
      <c r="Y18" s="130">
        <v>1.1944629E11</v>
      </c>
      <c r="Z18" s="130">
        <v>0.0</v>
      </c>
      <c r="AA18" s="130">
        <v>1.1944629E11</v>
      </c>
      <c r="AB18" s="130">
        <v>2.1732756E10</v>
      </c>
      <c r="AC18" s="130">
        <v>0.1819458436088722</v>
      </c>
      <c r="AD18" s="130"/>
      <c r="AE18" s="130">
        <v>0.5628027619206677</v>
      </c>
      <c r="AF18" s="130">
        <v>0.2765948263564214</v>
      </c>
      <c r="AG18" s="130">
        <v>0.2265682767122896</v>
      </c>
      <c r="AH18" s="130">
        <v>0.2692796768419488</v>
      </c>
      <c r="AI18" s="130">
        <v>0.1723978150824921</v>
      </c>
      <c r="AJ18" s="130">
        <v>9.7713534E10</v>
      </c>
      <c r="AK18" s="130">
        <v>0.2363740753187567</v>
      </c>
      <c r="AL18" s="130"/>
      <c r="AM18" s="130"/>
      <c r="AN18" s="130">
        <v>0.01301158235106052</v>
      </c>
      <c r="AO18" s="130"/>
      <c r="AP18" s="130">
        <v>19.8815329455761</v>
      </c>
      <c r="AQ18" s="130">
        <v>-1.03521792E11</v>
      </c>
      <c r="AR18" s="130">
        <v>-0.8454440249547366</v>
      </c>
      <c r="AS18" s="130">
        <v>2.428121869753603</v>
      </c>
      <c r="AT18" s="130">
        <v>2.428121869753603</v>
      </c>
      <c r="AU18" s="130">
        <v>0.5095070175160176</v>
      </c>
      <c r="AV18" s="130">
        <v>1.680886547552185E11</v>
      </c>
      <c r="AW18" s="130">
        <v>6.456686275521851E10</v>
      </c>
      <c r="AX18" s="130">
        <v>1.718030293782552</v>
      </c>
      <c r="AY18" s="130">
        <v>0.3892331212171105</v>
      </c>
      <c r="AZ18" s="130">
        <v>1.588835563780381</v>
      </c>
      <c r="BA18" s="130">
        <v>0.5273060606067562</v>
      </c>
      <c r="BB18" s="130"/>
      <c r="BC18" s="130">
        <v>0.4066151198598396</v>
      </c>
      <c r="BD18" s="130" t="s">
        <v>143</v>
      </c>
      <c r="BE18" s="130" t="s">
        <v>138</v>
      </c>
      <c r="BF18" s="130" t="s">
        <v>139</v>
      </c>
      <c r="BG18" s="130"/>
    </row>
    <row r="19">
      <c r="A19" s="130" t="s">
        <v>16</v>
      </c>
      <c r="B19" s="130">
        <v>2025.0</v>
      </c>
      <c r="C19" s="130">
        <v>142.2491302490234</v>
      </c>
      <c r="D19" s="130">
        <v>9.3925E10</v>
      </c>
      <c r="E19" s="130">
        <v>5.0859E10</v>
      </c>
      <c r="F19" s="130">
        <v>8.24E9</v>
      </c>
      <c r="G19" s="130">
        <v>6.0</v>
      </c>
      <c r="H19" s="130">
        <v>5.624000000000001</v>
      </c>
      <c r="I19" s="130">
        <v>1.373E9</v>
      </c>
      <c r="J19" s="130">
        <v>7.672E9</v>
      </c>
      <c r="K19" s="130">
        <v>1.2087E10</v>
      </c>
      <c r="L19" s="130">
        <v>-4.415E9</v>
      </c>
      <c r="M19" s="130">
        <v>7.638E9</v>
      </c>
      <c r="N19" s="130">
        <v>9.159E9</v>
      </c>
      <c r="O19" s="130">
        <v>2.7949E10</v>
      </c>
      <c r="P19" s="130">
        <v>1.07399E11</v>
      </c>
      <c r="Q19" s="130">
        <v>1.03433E11</v>
      </c>
      <c r="R19" s="130">
        <v>3.2764E10</v>
      </c>
      <c r="S19" s="130">
        <v>5.845E9</v>
      </c>
      <c r="T19" s="130">
        <v>2.0406E10</v>
      </c>
      <c r="U19" s="130">
        <v>1.92235E10</v>
      </c>
      <c r="V19" s="130">
        <v>4.9901E10</v>
      </c>
      <c r="W19" s="130">
        <v>6.9588E10</v>
      </c>
      <c r="X19" s="130">
        <v>1.5543E10</v>
      </c>
      <c r="Y19" s="130">
        <v>1.1365E10</v>
      </c>
      <c r="Z19" s="130">
        <v>1.121E9</v>
      </c>
      <c r="AA19" s="130">
        <v>1.0244E10</v>
      </c>
      <c r="AB19" s="130">
        <v>1.949E9</v>
      </c>
      <c r="AC19" s="130">
        <v>0.1902577118313159</v>
      </c>
      <c r="AD19" s="130"/>
      <c r="AE19" s="130">
        <v>0.541485227575193</v>
      </c>
      <c r="AF19" s="130">
        <v>0.121000798509449</v>
      </c>
      <c r="AG19" s="130">
        <v>0.08772957146659568</v>
      </c>
      <c r="AH19" s="130">
        <v>0.4286420266860874</v>
      </c>
      <c r="AI19" s="130">
        <v>0.07966509721268841</v>
      </c>
      <c r="AJ19" s="130">
        <v>9.202721105037094E9</v>
      </c>
      <c r="AK19" s="130">
        <v>0.1322458053836451</v>
      </c>
      <c r="AL19" s="130">
        <v>0.9269417475728156</v>
      </c>
      <c r="AM19" s="130">
        <v>0.9955683003128258</v>
      </c>
      <c r="AN19" s="130">
        <v>2.445408213270607</v>
      </c>
      <c r="AO19" s="130">
        <v>10.13826940231936</v>
      </c>
      <c r="AP19" s="130">
        <v>0.2422195947976994</v>
      </c>
      <c r="AQ19" s="130">
        <v>4.0742E10</v>
      </c>
      <c r="AR19" s="130">
        <v>2.621244290034099</v>
      </c>
      <c r="AS19" s="130">
        <v>0.8530399218654621</v>
      </c>
      <c r="AT19" s="130">
        <v>0.6746429007447198</v>
      </c>
      <c r="AU19" s="130">
        <v>0.2795446221462581</v>
      </c>
      <c r="AV19" s="130">
        <v>1.953080558319092E11</v>
      </c>
      <c r="AW19" s="130">
        <v>2.360500558319092E11</v>
      </c>
      <c r="AX19" s="130">
        <v>23.70818837483724</v>
      </c>
      <c r="AY19" s="130">
        <v>2.079404374042153</v>
      </c>
      <c r="AZ19" s="130">
        <v>25.45725440979004</v>
      </c>
      <c r="BA19" s="130">
        <v>15.18690444778416</v>
      </c>
      <c r="BB19" s="130">
        <v>0.03953626985384404</v>
      </c>
      <c r="BC19" s="130">
        <v>9.571109273346524</v>
      </c>
      <c r="BD19" s="130" t="s">
        <v>163</v>
      </c>
      <c r="BE19" s="130" t="s">
        <v>161</v>
      </c>
      <c r="BF19" s="130" t="s">
        <v>164</v>
      </c>
      <c r="BG19" s="130"/>
    </row>
    <row r="20">
      <c r="A20" s="130" t="s">
        <v>15</v>
      </c>
      <c r="B20" s="130">
        <v>2025.0</v>
      </c>
      <c r="C20" s="130">
        <v>769.7928466796875</v>
      </c>
      <c r="D20" s="130">
        <v>1.43429E10</v>
      </c>
      <c r="E20" s="130">
        <v>1.22422E10</v>
      </c>
      <c r="F20" s="130">
        <v>4.5049E9</v>
      </c>
      <c r="G20" s="130">
        <v>41.48</v>
      </c>
      <c r="H20" s="130">
        <v>3.52</v>
      </c>
      <c r="I20" s="130">
        <v>1.086E8</v>
      </c>
      <c r="J20" s="130">
        <v>3.7652E9</v>
      </c>
      <c r="K20" s="130">
        <v>4.9789E9</v>
      </c>
      <c r="L20" s="130">
        <v>-1.2137E9</v>
      </c>
      <c r="M20" s="130">
        <v>3.703E8</v>
      </c>
      <c r="N20" s="130">
        <v>3.1181E9</v>
      </c>
      <c r="O20" s="130">
        <v>1.80219E10</v>
      </c>
      <c r="P20" s="130">
        <v>4.05587E10</v>
      </c>
      <c r="Q20" s="130">
        <v>3.915905E10</v>
      </c>
      <c r="R20" s="130">
        <v>4.3684E9</v>
      </c>
      <c r="S20" s="130">
        <v>3.2008E9</v>
      </c>
      <c r="T20" s="130">
        <v>3.12569E10</v>
      </c>
      <c r="U20" s="130">
        <v>3.030525E10</v>
      </c>
      <c r="V20" s="130">
        <v>2.7059E9</v>
      </c>
      <c r="W20" s="130">
        <v>3.32428E10</v>
      </c>
      <c r="X20" s="130">
        <v>5.8182E9</v>
      </c>
      <c r="Y20" s="130">
        <v>5.2745E9</v>
      </c>
      <c r="Z20" s="130">
        <v>4.38E7</v>
      </c>
      <c r="AA20" s="130">
        <v>5.2307E9</v>
      </c>
      <c r="AB20" s="130">
        <v>7.258E8</v>
      </c>
      <c r="AC20" s="130">
        <v>0.1387577188521613</v>
      </c>
      <c r="AD20" s="130"/>
      <c r="AE20" s="130">
        <v>0.8535372902272205</v>
      </c>
      <c r="AF20" s="130">
        <v>0.367742925070941</v>
      </c>
      <c r="AG20" s="130">
        <v>0.314085714883322</v>
      </c>
      <c r="AH20" s="130">
        <v>0.1486508113280702</v>
      </c>
      <c r="AI20" s="130">
        <v>0.1150410952257524</v>
      </c>
      <c r="AJ20" s="130">
        <v>4.542622411914275E9</v>
      </c>
      <c r="AK20" s="130">
        <v>0.1366498132502158</v>
      </c>
      <c r="AL20" s="130">
        <v>0.0821993828941819</v>
      </c>
      <c r="AM20" s="130">
        <v>0.0983480293211516</v>
      </c>
      <c r="AN20" s="130">
        <v>0.0865696854134607</v>
      </c>
      <c r="AO20" s="130">
        <v>120.4223744292238</v>
      </c>
      <c r="AP20" s="130">
        <v>1.840016260763517</v>
      </c>
      <c r="AQ20" s="130">
        <v>-4.122E8</v>
      </c>
      <c r="AR20" s="130">
        <v>-0.07084665360420749</v>
      </c>
      <c r="AS20" s="130">
        <v>4.125515062723194</v>
      </c>
      <c r="AT20" s="130">
        <v>3.392798278545921</v>
      </c>
      <c r="AU20" s="130">
        <v>0.713785367640326</v>
      </c>
      <c r="AV20" s="130">
        <v>8.359950314941406E10</v>
      </c>
      <c r="AW20" s="130">
        <v>8.318730314941406E10</v>
      </c>
      <c r="AX20" s="130">
        <v>18.55816891706094</v>
      </c>
      <c r="AY20" s="130">
        <v>5.828633201752369</v>
      </c>
      <c r="AZ20" s="130">
        <v>22.20320385355733</v>
      </c>
      <c r="BA20" s="130">
        <v>14.29777304826477</v>
      </c>
      <c r="BB20" s="130">
        <v>0.004572658755121792</v>
      </c>
      <c r="BC20" s="130">
        <v>2.674593550525294</v>
      </c>
      <c r="BD20" s="130" t="s">
        <v>157</v>
      </c>
      <c r="BE20" s="130" t="s">
        <v>154</v>
      </c>
      <c r="BF20" s="130" t="s">
        <v>158</v>
      </c>
      <c r="BG20" s="130"/>
    </row>
    <row r="21" ht="15.75" customHeight="1">
      <c r="A21" s="130" t="s">
        <v>24</v>
      </c>
      <c r="B21" s="130">
        <v>2025.0</v>
      </c>
      <c r="C21" s="130">
        <v>200.9779052734375</v>
      </c>
      <c r="D21" s="130">
        <v>8.8309E10</v>
      </c>
      <c r="E21" s="130">
        <v>5.5535E10</v>
      </c>
      <c r="F21" s="130">
        <v>1.0992E10</v>
      </c>
      <c r="G21" s="130">
        <v>9.72</v>
      </c>
      <c r="H21" s="130">
        <v>3.66</v>
      </c>
      <c r="I21" s="130">
        <v>1.131076251E9</v>
      </c>
      <c r="J21" s="130">
        <v>1.5427E10</v>
      </c>
      <c r="K21" s="130">
        <v>2.795E10</v>
      </c>
      <c r="L21" s="130">
        <v>-1.2523E10</v>
      </c>
      <c r="M21" s="130">
        <v>4.121E9</v>
      </c>
      <c r="N21" s="130">
        <v>5.598E9</v>
      </c>
      <c r="O21" s="130">
        <v>2.4461E10</v>
      </c>
      <c r="P21" s="130">
        <v>2.19237E11</v>
      </c>
      <c r="Q21" s="130">
        <v>2.13636E11</v>
      </c>
      <c r="R21" s="130">
        <v>2.45E10</v>
      </c>
      <c r="S21" s="130">
        <v>2.405E9</v>
      </c>
      <c r="T21" s="130">
        <v>5.9203E10</v>
      </c>
      <c r="U21" s="130">
        <v>6.0472E10</v>
      </c>
      <c r="V21" s="130">
        <v>1.22269E11</v>
      </c>
      <c r="W21" s="130">
        <v>1.45485E11</v>
      </c>
      <c r="X21" s="130">
        <v>3.1563E10</v>
      </c>
      <c r="Y21" s="130">
        <v>1.8055E10</v>
      </c>
      <c r="Z21" s="130">
        <v>3.774E9</v>
      </c>
      <c r="AA21" s="130">
        <v>1.4281E10</v>
      </c>
      <c r="AB21" s="130">
        <v>3.289E9</v>
      </c>
      <c r="AC21" s="130">
        <v>0.2303060009803235</v>
      </c>
      <c r="AD21" s="130"/>
      <c r="AE21" s="130">
        <v>0.6288713494660794</v>
      </c>
      <c r="AF21" s="130">
        <v>0.2044525473054842</v>
      </c>
      <c r="AG21" s="130">
        <v>0.1244720243689771</v>
      </c>
      <c r="AH21" s="130">
        <v>0.1817700754067998</v>
      </c>
      <c r="AI21" s="130">
        <v>0.05145200247149357</v>
      </c>
      <c r="AJ21" s="130">
        <v>1.389682515230026E10</v>
      </c>
      <c r="AK21" s="130">
        <v>0.09552067328109605</v>
      </c>
      <c r="AL21" s="130">
        <v>0.3749090247452693</v>
      </c>
      <c r="AM21" s="130">
        <v>0.2671290594412394</v>
      </c>
      <c r="AN21" s="130">
        <v>2.065250071786903</v>
      </c>
      <c r="AO21" s="130">
        <v>4.78404875463699</v>
      </c>
      <c r="AP21" s="130">
        <v>0.2285943288977582</v>
      </c>
      <c r="AQ21" s="130">
        <v>1.16671E11</v>
      </c>
      <c r="AR21" s="130">
        <v>3.69644837309508</v>
      </c>
      <c r="AS21" s="130">
        <v>0.9984081632653061</v>
      </c>
      <c r="AT21" s="130">
        <v>0.9002448979591837</v>
      </c>
      <c r="AU21" s="130">
        <v>0.2284897959183673</v>
      </c>
      <c r="AV21" s="130">
        <v>2.273213356305128E11</v>
      </c>
      <c r="AW21" s="130">
        <v>3.439923356305128E11</v>
      </c>
      <c r="AX21" s="130">
        <v>20.67673922566229</v>
      </c>
      <c r="AY21" s="130">
        <v>2.574158190337483</v>
      </c>
      <c r="AZ21" s="130">
        <v>14.73529108903305</v>
      </c>
      <c r="BA21" s="130">
        <v>10.89859441848091</v>
      </c>
      <c r="BB21" s="130">
        <v>0.01821095704535502</v>
      </c>
      <c r="BC21" s="130">
        <v>3.839692847161678</v>
      </c>
      <c r="BD21" s="130" t="s">
        <v>150</v>
      </c>
      <c r="BE21" s="130" t="s">
        <v>145</v>
      </c>
      <c r="BF21" s="130" t="s">
        <v>151</v>
      </c>
      <c r="BG21" s="130"/>
    </row>
    <row r="22" ht="15.75" customHeight="1">
      <c r="A22" s="130" t="s">
        <v>18</v>
      </c>
      <c r="B22" s="130">
        <v>2025.0</v>
      </c>
      <c r="C22" s="130">
        <v>449.7200012207031</v>
      </c>
      <c r="D22" s="130">
        <v>9.4827E10</v>
      </c>
      <c r="E22" s="130">
        <v>1.7094E10</v>
      </c>
      <c r="F22" s="130">
        <v>3.794E9</v>
      </c>
      <c r="G22" s="130">
        <v>1.08</v>
      </c>
      <c r="H22" s="130"/>
      <c r="I22" s="130">
        <v>3.52625E9</v>
      </c>
      <c r="J22" s="130">
        <v>6.22E9</v>
      </c>
      <c r="K22" s="130">
        <v>1.4747E10</v>
      </c>
      <c r="L22" s="130">
        <v>-8.527E9</v>
      </c>
      <c r="M22" s="130"/>
      <c r="N22" s="130">
        <v>1.6513E10</v>
      </c>
      <c r="O22" s="130">
        <v>6.8642E10</v>
      </c>
      <c r="P22" s="130">
        <v>1.37806E11</v>
      </c>
      <c r="Q22" s="130">
        <v>1.29938E11</v>
      </c>
      <c r="R22" s="130">
        <v>3.1714E10</v>
      </c>
      <c r="S22" s="130">
        <v>1.2392E10</v>
      </c>
      <c r="T22" s="130">
        <v>8.2137E10</v>
      </c>
      <c r="U22" s="130">
        <v>7.7525E10</v>
      </c>
      <c r="V22" s="130">
        <v>1.4719E10</v>
      </c>
      <c r="W22" s="130">
        <v>9.029E10</v>
      </c>
      <c r="X22" s="130">
        <v>1.1764E10</v>
      </c>
      <c r="Y22" s="130">
        <v>5.616E9</v>
      </c>
      <c r="Z22" s="130">
        <v>3.38E8</v>
      </c>
      <c r="AA22" s="130">
        <v>5.278E9</v>
      </c>
      <c r="AB22" s="130">
        <v>1.423E9</v>
      </c>
      <c r="AC22" s="130">
        <v>0.2696097006441834</v>
      </c>
      <c r="AD22" s="130"/>
      <c r="AE22" s="130">
        <v>0.1802651143661615</v>
      </c>
      <c r="AF22" s="130">
        <v>0.05922363883704009</v>
      </c>
      <c r="AG22" s="130">
        <v>0.04000970187815706</v>
      </c>
      <c r="AH22" s="130">
        <v>0.04893905191873589</v>
      </c>
      <c r="AI22" s="130">
        <v>0.02919854084255568</v>
      </c>
      <c r="AJ22" s="130">
        <v>4.101871921182266E9</v>
      </c>
      <c r="AK22" s="130">
        <v>0.0454299692234164</v>
      </c>
      <c r="AL22" s="130"/>
      <c r="AM22" s="130"/>
      <c r="AN22" s="130">
        <v>0.1792006038691455</v>
      </c>
      <c r="AO22" s="130">
        <v>16.61538461538462</v>
      </c>
      <c r="AP22" s="130">
        <v>1.001902303145594</v>
      </c>
      <c r="AQ22" s="130">
        <v>-1.794E9</v>
      </c>
      <c r="AR22" s="130">
        <v>-0.1524991499489969</v>
      </c>
      <c r="AS22" s="130">
        <v>2.164406886548528</v>
      </c>
      <c r="AT22" s="130">
        <v>1.773664627609258</v>
      </c>
      <c r="AU22" s="130">
        <v>0.5206848710348742</v>
      </c>
      <c r="AV22" s="130">
        <v>1.585825154304504E12</v>
      </c>
      <c r="AW22" s="130">
        <v>1.584031154304504E12</v>
      </c>
      <c r="AX22" s="130">
        <v>416.4074085376881</v>
      </c>
      <c r="AY22" s="130">
        <v>16.72335046246854</v>
      </c>
      <c r="AZ22" s="130">
        <v>254.9558125891486</v>
      </c>
      <c r="BA22" s="130">
        <v>134.6507271595125</v>
      </c>
      <c r="BB22" s="130"/>
      <c r="BC22" s="130">
        <v>19.30707420899843</v>
      </c>
      <c r="BD22" s="130" t="s">
        <v>140</v>
      </c>
      <c r="BE22" s="130" t="s">
        <v>138</v>
      </c>
      <c r="BF22" s="130" t="s">
        <v>141</v>
      </c>
      <c r="BG22" s="130"/>
    </row>
    <row r="23" ht="15.75" customHeight="1">
      <c r="A23" s="130" t="s">
        <v>25</v>
      </c>
      <c r="B23" s="130">
        <v>2025.0</v>
      </c>
      <c r="C23" s="130">
        <v>453.3599853515625</v>
      </c>
      <c r="D23" s="130">
        <v>1.20013E10</v>
      </c>
      <c r="E23" s="130">
        <v>1.035E10</v>
      </c>
      <c r="F23" s="130">
        <v>3.9532E9</v>
      </c>
      <c r="G23" s="130">
        <v>15.32</v>
      </c>
      <c r="H23" s="130"/>
      <c r="I23" s="130">
        <v>2.58E8</v>
      </c>
      <c r="J23" s="130">
        <v>3.1938E9</v>
      </c>
      <c r="K23" s="130">
        <v>3.6314E9</v>
      </c>
      <c r="L23" s="130">
        <v>-4.376E8</v>
      </c>
      <c r="M23" s="130"/>
      <c r="N23" s="130">
        <v>5.0848E9</v>
      </c>
      <c r="O23" s="130">
        <v>1.1201E10</v>
      </c>
      <c r="P23" s="130">
        <v>2.5643E10</v>
      </c>
      <c r="Q23" s="130">
        <v>2.40881E10</v>
      </c>
      <c r="R23" s="130">
        <v>3.8612E9</v>
      </c>
      <c r="S23" s="130">
        <v>1.6868E9</v>
      </c>
      <c r="T23" s="130">
        <v>1.86658E10</v>
      </c>
      <c r="U23" s="130">
        <v>1.75377E10</v>
      </c>
      <c r="V23" s="130">
        <v>2.0305E9</v>
      </c>
      <c r="W23" s="130">
        <v>1.86658E10</v>
      </c>
      <c r="X23" s="130">
        <v>4.8663E9</v>
      </c>
      <c r="Y23" s="130">
        <v>4.6565E9</v>
      </c>
      <c r="Z23" s="130">
        <v>1.33E7</v>
      </c>
      <c r="AA23" s="130">
        <v>4.6432E9</v>
      </c>
      <c r="AB23" s="130">
        <v>6.9E8</v>
      </c>
      <c r="AC23" s="130">
        <v>0.1486044107512061</v>
      </c>
      <c r="AD23" s="130"/>
      <c r="AE23" s="130">
        <v>0.8624065726212994</v>
      </c>
      <c r="AF23" s="130">
        <v>0.3879996333730513</v>
      </c>
      <c r="AG23" s="130">
        <v>0.3293976485880696</v>
      </c>
      <c r="AH23" s="130">
        <v>0.2254115419923935</v>
      </c>
      <c r="AI23" s="130">
        <v>0.1641142306782187</v>
      </c>
      <c r="AJ23" s="130">
        <v>3.964523561337008E9</v>
      </c>
      <c r="AK23" s="130">
        <v>0.2123950519847533</v>
      </c>
      <c r="AL23" s="130"/>
      <c r="AM23" s="130"/>
      <c r="AN23" s="130">
        <v>0.1087818362995425</v>
      </c>
      <c r="AO23" s="130">
        <v>350.1127819548872</v>
      </c>
      <c r="AP23" s="130">
        <v>1.788426495936961</v>
      </c>
      <c r="AQ23" s="130">
        <v>-3.0543E9</v>
      </c>
      <c r="AR23" s="130">
        <v>-0.6276431785956477</v>
      </c>
      <c r="AS23" s="130">
        <v>2.900911633689009</v>
      </c>
      <c r="AT23" s="130">
        <v>2.464052626126593</v>
      </c>
      <c r="AU23" s="130">
        <v>1.316896301667875</v>
      </c>
      <c r="AV23" s="130">
        <v>1.169668762207031E11</v>
      </c>
      <c r="AW23" s="130">
        <v>1.139125762207031E11</v>
      </c>
      <c r="AX23" s="130">
        <v>29.59268833887484</v>
      </c>
      <c r="AY23" s="130">
        <v>9.74618384847501</v>
      </c>
      <c r="AZ23" s="130">
        <v>36.62310608701331</v>
      </c>
      <c r="BA23" s="130">
        <v>23.40845739487971</v>
      </c>
      <c r="BB23" s="130"/>
      <c r="BC23" s="130">
        <v>6.266373593454507</v>
      </c>
      <c r="BD23" s="130" t="s">
        <v>159</v>
      </c>
      <c r="BE23" s="130" t="s">
        <v>154</v>
      </c>
      <c r="BF23" s="130" t="s">
        <v>158</v>
      </c>
      <c r="BG23" s="1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3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127.7616119384766</v>
      </c>
      <c r="C2" s="130">
        <v>190.3750915527344</v>
      </c>
      <c r="D2" s="130">
        <v>248.8302154541016</v>
      </c>
      <c r="E2" s="130">
        <v>271.3558349609375</v>
      </c>
    </row>
    <row r="3">
      <c r="A3" s="130" t="s">
        <v>22</v>
      </c>
      <c r="B3" s="130">
        <v>64.7699966430664</v>
      </c>
      <c r="C3" s="130">
        <v>147.4100036621094</v>
      </c>
      <c r="D3" s="130">
        <v>120.7900009155273</v>
      </c>
      <c r="E3" s="130">
        <v>214.1600036621094</v>
      </c>
    </row>
    <row r="4">
      <c r="A4" s="130" t="s">
        <v>10</v>
      </c>
      <c r="B4" s="130">
        <v>235.2110443115234</v>
      </c>
      <c r="C4" s="130">
        <v>266.8806457519531</v>
      </c>
      <c r="D4" s="130">
        <v>248.8076324462891</v>
      </c>
      <c r="E4" s="130">
        <v>322.621337890625</v>
      </c>
    </row>
    <row r="5">
      <c r="A5" s="130" t="s">
        <v>8</v>
      </c>
      <c r="B5" s="130">
        <v>84.0</v>
      </c>
      <c r="C5" s="130">
        <v>151.9400024414062</v>
      </c>
      <c r="D5" s="130">
        <v>219.3899993896484</v>
      </c>
      <c r="E5" s="130">
        <v>230.8200073242188</v>
      </c>
    </row>
    <row r="6">
      <c r="A6" s="130" t="s">
        <v>17</v>
      </c>
      <c r="B6" s="130">
        <v>529.7848510742188</v>
      </c>
      <c r="C6" s="130">
        <v>741.18603515625</v>
      </c>
      <c r="D6" s="130">
        <v>684.1212158203125</v>
      </c>
      <c r="E6" s="130">
        <v>1066.1220703125</v>
      </c>
    </row>
    <row r="7">
      <c r="A7" s="130" t="s">
        <v>28</v>
      </c>
      <c r="B7" s="130">
        <v>50.25195693969727</v>
      </c>
      <c r="C7" s="130">
        <v>62.56396484375</v>
      </c>
      <c r="D7" s="130">
        <v>74.04560852050781</v>
      </c>
      <c r="E7" s="130">
        <v>89.74137115478516</v>
      </c>
    </row>
    <row r="8">
      <c r="A8" s="130" t="s">
        <v>27</v>
      </c>
      <c r="B8" s="130">
        <v>339.1000061035156</v>
      </c>
      <c r="C8" s="130">
        <v>388.6799926757812</v>
      </c>
      <c r="D8" s="130">
        <v>342.7699890136719</v>
      </c>
      <c r="E8" s="130">
        <v>208.75</v>
      </c>
    </row>
    <row r="9">
      <c r="A9" s="130" t="s">
        <v>11</v>
      </c>
      <c r="B9" s="130">
        <v>436.9051208496094</v>
      </c>
      <c r="C9" s="130">
        <v>651.0054321289062</v>
      </c>
      <c r="D9" s="130">
        <v>908.9511108398438</v>
      </c>
      <c r="E9" s="130">
        <v>859.915771484375</v>
      </c>
    </row>
    <row r="10">
      <c r="A10" s="130" t="s">
        <v>20</v>
      </c>
      <c r="B10" s="130">
        <v>76.81604766845703</v>
      </c>
      <c r="C10" s="130">
        <v>75.28526306152344</v>
      </c>
      <c r="D10" s="130">
        <v>89.3504638671875</v>
      </c>
      <c r="E10" s="130">
        <v>122.0468826293945</v>
      </c>
    </row>
    <row r="11">
      <c r="A11" s="130" t="s">
        <v>9</v>
      </c>
      <c r="B11" s="130">
        <v>87.50675964355469</v>
      </c>
      <c r="C11" s="130">
        <v>138.5449371337891</v>
      </c>
      <c r="D11" s="130">
        <v>188.4288635253906</v>
      </c>
      <c r="E11" s="130">
        <v>312.7798156738281</v>
      </c>
    </row>
    <row r="12">
      <c r="A12" s="130" t="s">
        <v>26</v>
      </c>
      <c r="B12" s="130">
        <v>32.34098052978516</v>
      </c>
      <c r="C12" s="130">
        <v>30.97090911865234</v>
      </c>
      <c r="D12" s="130">
        <v>30.64525413513184</v>
      </c>
      <c r="E12" s="130">
        <v>27.53677940368652</v>
      </c>
    </row>
    <row r="13">
      <c r="A13" s="130" t="s">
        <v>21</v>
      </c>
      <c r="B13" s="130">
        <v>60.95979690551758</v>
      </c>
      <c r="C13" s="130">
        <v>67.77083587646484</v>
      </c>
      <c r="D13" s="130">
        <v>57.40383148193359</v>
      </c>
      <c r="E13" s="130">
        <v>53.36794281005859</v>
      </c>
    </row>
    <row r="14">
      <c r="A14" s="130" t="s">
        <v>13</v>
      </c>
      <c r="B14" s="130">
        <v>846.239990234375</v>
      </c>
      <c r="C14" s="130">
        <v>1571.5400390625</v>
      </c>
      <c r="D14" s="130">
        <v>1700.43994140625</v>
      </c>
      <c r="E14" s="130">
        <v>2014.260009765625</v>
      </c>
    </row>
    <row r="15">
      <c r="A15" s="130" t="s">
        <v>14</v>
      </c>
      <c r="B15" s="130">
        <v>119.4029922485352</v>
      </c>
      <c r="C15" s="130">
        <v>351.2039184570312</v>
      </c>
      <c r="D15" s="130">
        <v>583.170166015625</v>
      </c>
      <c r="E15" s="130">
        <v>659.5253295898438</v>
      </c>
    </row>
    <row r="16">
      <c r="A16" s="130" t="s">
        <v>12</v>
      </c>
      <c r="B16" s="130">
        <v>233.1816253662109</v>
      </c>
      <c r="C16" s="130">
        <v>368.8730163574219</v>
      </c>
      <c r="D16" s="130">
        <v>416.5583801269531</v>
      </c>
      <c r="E16" s="130">
        <v>481.4758605957031</v>
      </c>
    </row>
    <row r="17">
      <c r="A17" s="130" t="s">
        <v>19</v>
      </c>
      <c r="B17" s="130">
        <v>29.48800086975098</v>
      </c>
      <c r="C17" s="130">
        <v>48.6879997253418</v>
      </c>
      <c r="D17" s="130">
        <v>89.13200378417969</v>
      </c>
      <c r="E17" s="130">
        <v>93.76000213623047</v>
      </c>
    </row>
    <row r="18">
      <c r="A18" s="130" t="s">
        <v>23</v>
      </c>
      <c r="B18" s="130">
        <v>81.55000305175781</v>
      </c>
      <c r="C18" s="130">
        <v>146.3099975585938</v>
      </c>
      <c r="D18" s="130">
        <v>96.98999786376953</v>
      </c>
      <c r="E18" s="130">
        <v>113.3899993896484</v>
      </c>
    </row>
    <row r="19">
      <c r="A19" s="130" t="s">
        <v>16</v>
      </c>
      <c r="B19" s="130">
        <v>162.1813049316406</v>
      </c>
      <c r="C19" s="130">
        <v>156.8449401855469</v>
      </c>
      <c r="D19" s="130">
        <v>144.9222106933594</v>
      </c>
      <c r="E19" s="130">
        <v>142.2491302490234</v>
      </c>
    </row>
    <row r="20">
      <c r="A20" s="130" t="s">
        <v>15</v>
      </c>
      <c r="B20" s="130">
        <v>715.5797729492188</v>
      </c>
      <c r="C20" s="130">
        <v>871.0952758789062</v>
      </c>
      <c r="D20" s="130">
        <v>706.4948120117188</v>
      </c>
      <c r="E20" s="130">
        <v>769.7928466796875</v>
      </c>
    </row>
    <row r="21" ht="15.75" customHeight="1">
      <c r="A21" s="130" t="s">
        <v>24</v>
      </c>
      <c r="B21" s="130">
        <v>133.8811492919922</v>
      </c>
      <c r="C21" s="130">
        <v>153.9919281005859</v>
      </c>
      <c r="D21" s="130">
        <v>215.1318054199219</v>
      </c>
      <c r="E21" s="130">
        <v>200.9779052734375</v>
      </c>
    </row>
    <row r="22" ht="15.75" customHeight="1">
      <c r="A22" s="130" t="s">
        <v>18</v>
      </c>
      <c r="B22" s="130">
        <v>123.1800003051758</v>
      </c>
      <c r="C22" s="130">
        <v>248.4799957275391</v>
      </c>
      <c r="D22" s="130">
        <v>403.8399963378906</v>
      </c>
      <c r="E22" s="130">
        <v>449.7200012207031</v>
      </c>
    </row>
    <row r="23" ht="15.75" customHeight="1">
      <c r="A23" s="130" t="s">
        <v>25</v>
      </c>
      <c r="B23" s="130">
        <v>288.7799987792969</v>
      </c>
      <c r="C23" s="130">
        <v>406.8900146484375</v>
      </c>
      <c r="D23" s="130">
        <v>402.7000122070312</v>
      </c>
      <c r="E23" s="130">
        <v>453.3599853515625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3.94328E11</v>
      </c>
      <c r="C2" s="130">
        <v>3.83285E11</v>
      </c>
      <c r="D2" s="130">
        <v>3.91035E11</v>
      </c>
      <c r="E2" s="130">
        <v>4.16161E11</v>
      </c>
    </row>
    <row r="3">
      <c r="A3" s="130" t="s">
        <v>22</v>
      </c>
      <c r="B3" s="130">
        <v>2.3601E10</v>
      </c>
      <c r="C3" s="130">
        <v>2.268E10</v>
      </c>
      <c r="D3" s="130">
        <v>2.5785E10</v>
      </c>
      <c r="E3" s="130">
        <v>3.4639E10</v>
      </c>
    </row>
    <row r="4">
      <c r="A4" s="130" t="s">
        <v>10</v>
      </c>
      <c r="B4" s="130">
        <v>2.6323E10</v>
      </c>
      <c r="C4" s="130">
        <v>2.819E10</v>
      </c>
      <c r="D4" s="130">
        <v>3.3424E10</v>
      </c>
      <c r="E4" s="130">
        <v>3.6751E10</v>
      </c>
    </row>
    <row r="5">
      <c r="A5" s="130" t="s">
        <v>8</v>
      </c>
      <c r="B5" s="130">
        <v>5.13983E11</v>
      </c>
      <c r="C5" s="130">
        <v>5.74785E11</v>
      </c>
      <c r="D5" s="130">
        <v>6.37959E11</v>
      </c>
      <c r="E5" s="130">
        <v>7.16924E11</v>
      </c>
    </row>
    <row r="6">
      <c r="A6" s="130" t="s">
        <v>17</v>
      </c>
      <c r="B6" s="130">
        <v>2.11734E10</v>
      </c>
      <c r="C6" s="130">
        <v>2.75585E10</v>
      </c>
      <c r="D6" s="130">
        <v>2.82629E10</v>
      </c>
      <c r="E6" s="130">
        <v>3.26673E10</v>
      </c>
    </row>
    <row r="7">
      <c r="A7" s="130" t="s">
        <v>28</v>
      </c>
      <c r="B7" s="130">
        <v>1.732E10</v>
      </c>
      <c r="C7" s="130">
        <v>1.8302E10</v>
      </c>
      <c r="D7" s="130">
        <v>2.0438E10</v>
      </c>
      <c r="E7" s="130">
        <v>2.0901E10</v>
      </c>
    </row>
    <row r="8">
      <c r="A8" s="130" t="s">
        <v>27</v>
      </c>
      <c r="B8" s="130">
        <v>5.4022E10</v>
      </c>
      <c r="C8" s="130">
        <v>5.4607E10</v>
      </c>
      <c r="D8" s="130">
        <v>5.5085E10</v>
      </c>
      <c r="E8" s="130">
        <v>5.4774E10</v>
      </c>
    </row>
    <row r="9">
      <c r="A9" s="130" t="s">
        <v>11</v>
      </c>
      <c r="B9" s="130">
        <v>2.26954E11</v>
      </c>
      <c r="C9" s="130">
        <v>2.4229E11</v>
      </c>
      <c r="D9" s="130">
        <v>2.54453E11</v>
      </c>
      <c r="E9" s="130">
        <v>2.75235E11</v>
      </c>
    </row>
    <row r="10">
      <c r="A10" s="130" t="s">
        <v>20</v>
      </c>
      <c r="B10" s="130">
        <v>2.7281E10</v>
      </c>
      <c r="C10" s="130">
        <v>2.7116E10</v>
      </c>
      <c r="D10" s="130">
        <v>2.8754E10</v>
      </c>
      <c r="E10" s="130">
        <v>2.9442E10</v>
      </c>
    </row>
    <row r="11">
      <c r="A11" s="130" t="s">
        <v>9</v>
      </c>
      <c r="B11" s="130">
        <v>2.82836E11</v>
      </c>
      <c r="C11" s="130">
        <v>3.07394E11</v>
      </c>
      <c r="D11" s="130">
        <v>3.50018E11</v>
      </c>
      <c r="E11" s="130">
        <v>4.02836E11</v>
      </c>
    </row>
    <row r="12">
      <c r="A12" s="130" t="s">
        <v>26</v>
      </c>
      <c r="B12" s="130">
        <v>1.4057E10</v>
      </c>
      <c r="C12" s="130">
        <v>1.4814E10</v>
      </c>
      <c r="D12" s="130">
        <v>1.5351E10</v>
      </c>
      <c r="E12" s="130">
        <v>1.6603E10</v>
      </c>
    </row>
    <row r="13">
      <c r="A13" s="130" t="s">
        <v>21</v>
      </c>
      <c r="B13" s="130">
        <v>3.1496E10</v>
      </c>
      <c r="C13" s="130">
        <v>3.6016E10</v>
      </c>
      <c r="D13" s="130">
        <v>3.6441E10</v>
      </c>
      <c r="E13" s="130">
        <v>3.8537E10</v>
      </c>
    </row>
    <row r="14">
      <c r="A14" s="130" t="s">
        <v>13</v>
      </c>
      <c r="B14" s="130">
        <v>1.078E10</v>
      </c>
      <c r="C14" s="130">
        <v>1.5107E10</v>
      </c>
      <c r="D14" s="130">
        <v>2.0777E10</v>
      </c>
      <c r="E14" s="130">
        <v>2.8893E10</v>
      </c>
    </row>
    <row r="15">
      <c r="A15" s="130" t="s">
        <v>14</v>
      </c>
      <c r="B15" s="130">
        <v>1.16609E11</v>
      </c>
      <c r="C15" s="130">
        <v>1.34902E11</v>
      </c>
      <c r="D15" s="130">
        <v>1.64501E11</v>
      </c>
      <c r="E15" s="130">
        <v>2.00966E11</v>
      </c>
    </row>
    <row r="16">
      <c r="A16" s="130" t="s">
        <v>12</v>
      </c>
      <c r="B16" s="130">
        <v>1.9827E11</v>
      </c>
      <c r="C16" s="130">
        <v>2.11915E11</v>
      </c>
      <c r="D16" s="130">
        <v>2.45122E11</v>
      </c>
      <c r="E16" s="130">
        <v>2.81724E11</v>
      </c>
    </row>
    <row r="17">
      <c r="A17" s="130" t="s">
        <v>19</v>
      </c>
      <c r="B17" s="130">
        <v>3.161555E10</v>
      </c>
      <c r="C17" s="130">
        <v>3.3723297E10</v>
      </c>
      <c r="D17" s="130">
        <v>3.9000966E10</v>
      </c>
      <c r="E17" s="130">
        <v>4.5183036E10</v>
      </c>
    </row>
    <row r="18">
      <c r="A18" s="130" t="s">
        <v>23</v>
      </c>
      <c r="B18" s="130">
        <v>1.30557589E11</v>
      </c>
      <c r="C18" s="130">
        <v>2.47639205E11</v>
      </c>
      <c r="D18" s="130">
        <v>3.93836097E11</v>
      </c>
      <c r="E18" s="130">
        <v>4.31845713E11</v>
      </c>
    </row>
    <row r="19">
      <c r="A19" s="130" t="s">
        <v>16</v>
      </c>
      <c r="B19" s="130">
        <v>8.6392E10</v>
      </c>
      <c r="C19" s="130">
        <v>9.1471E10</v>
      </c>
      <c r="D19" s="130">
        <v>9.1854E10</v>
      </c>
      <c r="E19" s="130">
        <v>9.3925E10</v>
      </c>
    </row>
    <row r="20">
      <c r="A20" s="130" t="s">
        <v>15</v>
      </c>
      <c r="B20" s="130">
        <v>1.21729E10</v>
      </c>
      <c r="C20" s="130">
        <v>1.31172E10</v>
      </c>
      <c r="D20" s="130">
        <v>1.4202E10</v>
      </c>
      <c r="E20" s="130">
        <v>1.43429E10</v>
      </c>
    </row>
    <row r="21" ht="15.75" customHeight="1">
      <c r="A21" s="130" t="s">
        <v>24</v>
      </c>
      <c r="B21" s="130">
        <v>7.9571E10</v>
      </c>
      <c r="C21" s="130">
        <v>7.8558E10</v>
      </c>
      <c r="D21" s="130">
        <v>8.14E10</v>
      </c>
      <c r="E21" s="130">
        <v>8.8309E10</v>
      </c>
    </row>
    <row r="22" ht="15.75" customHeight="1">
      <c r="A22" s="130" t="s">
        <v>18</v>
      </c>
      <c r="B22" s="130">
        <v>8.1462E10</v>
      </c>
      <c r="C22" s="130">
        <v>9.6773E10</v>
      </c>
      <c r="D22" s="130">
        <v>9.769E10</v>
      </c>
      <c r="E22" s="130">
        <v>9.4827E10</v>
      </c>
    </row>
    <row r="23" ht="15.75" customHeight="1">
      <c r="A23" s="130" t="s">
        <v>25</v>
      </c>
      <c r="B23" s="130">
        <v>8.9307E9</v>
      </c>
      <c r="C23" s="130">
        <v>9.8692E9</v>
      </c>
      <c r="D23" s="130">
        <v>1.10201E10</v>
      </c>
      <c r="E23" s="130">
        <v>1.20013E10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1.70782E11</v>
      </c>
      <c r="C2" s="130">
        <v>1.69148E11</v>
      </c>
      <c r="D2" s="130">
        <v>1.80683E11</v>
      </c>
      <c r="E2" s="130">
        <v>1.95201E11</v>
      </c>
    </row>
    <row r="3">
      <c r="A3" s="130" t="s">
        <v>22</v>
      </c>
      <c r="B3" s="130">
        <v>1.0603E10</v>
      </c>
      <c r="C3" s="130">
        <v>1.046E10</v>
      </c>
      <c r="D3" s="130">
        <v>1.2725E10</v>
      </c>
      <c r="E3" s="130">
        <v>1.7152E10</v>
      </c>
    </row>
    <row r="4">
      <c r="A4" s="130" t="s">
        <v>10</v>
      </c>
      <c r="B4" s="130">
        <v>1.9917E10</v>
      </c>
      <c r="C4" s="130">
        <v>1.9739E10</v>
      </c>
      <c r="D4" s="130">
        <v>2.0566E10</v>
      </c>
      <c r="E4" s="130">
        <v>2.4714E10</v>
      </c>
    </row>
    <row r="5">
      <c r="A5" s="130" t="s">
        <v>8</v>
      </c>
      <c r="B5" s="130">
        <v>2.25152E11</v>
      </c>
      <c r="C5" s="130">
        <v>2.70046E11</v>
      </c>
      <c r="D5" s="130">
        <v>3.11671E11</v>
      </c>
      <c r="E5" s="130">
        <v>3.6051E11</v>
      </c>
    </row>
    <row r="6">
      <c r="A6" s="130" t="s">
        <v>17</v>
      </c>
      <c r="B6" s="130">
        <v>1.07001E10</v>
      </c>
      <c r="C6" s="130">
        <v>1.41361E10</v>
      </c>
      <c r="D6" s="130">
        <v>1.4492E10</v>
      </c>
      <c r="E6" s="130">
        <v>1.7258E10</v>
      </c>
    </row>
    <row r="7">
      <c r="A7" s="130" t="s">
        <v>28</v>
      </c>
      <c r="B7" s="130">
        <v>6.224E9</v>
      </c>
      <c r="C7" s="130">
        <v>6.72E9</v>
      </c>
      <c r="D7" s="130">
        <v>7.211E9</v>
      </c>
      <c r="E7" s="130">
        <v>7.44E9</v>
      </c>
    </row>
    <row r="8">
      <c r="A8" s="130" t="s">
        <v>27</v>
      </c>
      <c r="B8" s="130">
        <v>2.9511E10</v>
      </c>
      <c r="C8" s="130">
        <v>2.9907E10</v>
      </c>
      <c r="D8" s="130">
        <v>3.0736E10</v>
      </c>
      <c r="E8" s="130">
        <v>3.0968E10</v>
      </c>
    </row>
    <row r="9">
      <c r="A9" s="130" t="s">
        <v>11</v>
      </c>
      <c r="B9" s="130">
        <v>2.7572E10</v>
      </c>
      <c r="C9" s="130">
        <v>2.9704E10</v>
      </c>
      <c r="D9" s="130">
        <v>3.2095E10</v>
      </c>
      <c r="E9" s="130">
        <v>3.5349E10</v>
      </c>
    </row>
    <row r="10">
      <c r="A10" s="130" t="s">
        <v>20</v>
      </c>
      <c r="B10" s="130">
        <v>2.1624E10</v>
      </c>
      <c r="C10" s="130">
        <v>2.0618E10</v>
      </c>
      <c r="D10" s="130">
        <v>2.2503E10</v>
      </c>
      <c r="E10" s="130">
        <v>2.3208E10</v>
      </c>
    </row>
    <row r="11">
      <c r="A11" s="130" t="s">
        <v>9</v>
      </c>
      <c r="B11" s="130">
        <v>1.56633E11</v>
      </c>
      <c r="C11" s="130">
        <v>1.74062E11</v>
      </c>
      <c r="D11" s="130">
        <v>2.03712E11</v>
      </c>
      <c r="E11" s="130">
        <v>2.40301E11</v>
      </c>
    </row>
    <row r="12">
      <c r="A12" s="130" t="s">
        <v>26</v>
      </c>
      <c r="B12" s="130">
        <v>7.323E9</v>
      </c>
      <c r="C12" s="130">
        <v>8.08E9</v>
      </c>
      <c r="D12" s="130">
        <v>8.529E9</v>
      </c>
      <c r="E12" s="130">
        <v>8.999E9</v>
      </c>
    </row>
    <row r="13">
      <c r="A13" s="130" t="s">
        <v>21</v>
      </c>
      <c r="B13" s="130">
        <v>1.1312E10</v>
      </c>
      <c r="C13" s="130">
        <v>1.3764E10</v>
      </c>
      <c r="D13" s="130">
        <v>1.4257E10</v>
      </c>
      <c r="E13" s="130">
        <v>1.0935E10</v>
      </c>
    </row>
    <row r="14">
      <c r="A14" s="130" t="s">
        <v>13</v>
      </c>
      <c r="B14" s="130">
        <v>5.198E9</v>
      </c>
      <c r="C14" s="130">
        <v>7.59E9</v>
      </c>
      <c r="D14" s="130">
        <v>9.577E9</v>
      </c>
      <c r="E14" s="130">
        <v>1.2858E10</v>
      </c>
    </row>
    <row r="15">
      <c r="A15" s="130" t="s">
        <v>14</v>
      </c>
      <c r="B15" s="130">
        <v>9.136E10</v>
      </c>
      <c r="C15" s="130">
        <v>1.08943E11</v>
      </c>
      <c r="D15" s="130">
        <v>1.3434E11</v>
      </c>
      <c r="E15" s="130">
        <v>1.64791E11</v>
      </c>
    </row>
    <row r="16">
      <c r="A16" s="130" t="s">
        <v>12</v>
      </c>
      <c r="B16" s="130">
        <v>1.3562E11</v>
      </c>
      <c r="C16" s="130">
        <v>1.46052E11</v>
      </c>
      <c r="D16" s="130">
        <v>1.71008E11</v>
      </c>
      <c r="E16" s="130">
        <v>1.93893E11</v>
      </c>
    </row>
    <row r="17">
      <c r="A17" s="130" t="s">
        <v>19</v>
      </c>
      <c r="B17" s="130">
        <v>1.2447265E10</v>
      </c>
      <c r="C17" s="130">
        <v>1.4007929E10</v>
      </c>
      <c r="D17" s="130">
        <v>1.7962502E10</v>
      </c>
      <c r="E17" s="130">
        <v>2.1907707E10</v>
      </c>
    </row>
    <row r="18">
      <c r="A18" s="130" t="s">
        <v>23</v>
      </c>
      <c r="B18" s="130">
        <v>9.9095291E10</v>
      </c>
      <c r="C18" s="130">
        <v>1.55915628E11</v>
      </c>
      <c r="D18" s="130">
        <v>2.39935723E11</v>
      </c>
      <c r="E18" s="130">
        <v>2.4304396E11</v>
      </c>
    </row>
    <row r="19">
      <c r="A19" s="130" t="s">
        <v>16</v>
      </c>
      <c r="B19" s="130">
        <v>4.5816E10</v>
      </c>
      <c r="C19" s="130">
        <v>4.959E10</v>
      </c>
      <c r="D19" s="130">
        <v>5.011E10</v>
      </c>
      <c r="E19" s="130">
        <v>5.0859E10</v>
      </c>
    </row>
    <row r="20">
      <c r="A20" s="130" t="s">
        <v>15</v>
      </c>
      <c r="B20" s="130">
        <v>1.06125E10</v>
      </c>
      <c r="C20" s="130">
        <v>1.13014E10</v>
      </c>
      <c r="D20" s="130">
        <v>1.22315E10</v>
      </c>
      <c r="E20" s="130">
        <v>1.22422E10</v>
      </c>
    </row>
    <row r="21" ht="15.75" customHeight="1">
      <c r="A21" s="130" t="s">
        <v>24</v>
      </c>
      <c r="B21" s="130">
        <v>4.3365E10</v>
      </c>
      <c r="C21" s="130">
        <v>4.837E10</v>
      </c>
      <c r="D21" s="130">
        <v>5.1747E10</v>
      </c>
      <c r="E21" s="130">
        <v>5.5535E10</v>
      </c>
    </row>
    <row r="22" ht="15.75" customHeight="1">
      <c r="A22" s="130" t="s">
        <v>18</v>
      </c>
      <c r="B22" s="130">
        <v>2.0853E10</v>
      </c>
      <c r="C22" s="130">
        <v>1.766E10</v>
      </c>
      <c r="D22" s="130">
        <v>1.745E10</v>
      </c>
      <c r="E22" s="130">
        <v>1.7094E10</v>
      </c>
    </row>
    <row r="23" ht="15.75" customHeight="1">
      <c r="A23" s="130" t="s">
        <v>25</v>
      </c>
      <c r="B23" s="130">
        <v>7.8504E9</v>
      </c>
      <c r="C23" s="130">
        <v>8.607E9</v>
      </c>
      <c r="D23" s="130">
        <v>9.4896E9</v>
      </c>
      <c r="E23" s="130">
        <v>1.035E10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3" width="13.71"/>
    <col customWidth="1" min="4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9.9803E10</v>
      </c>
      <c r="C2" s="130">
        <v>9.6995E10</v>
      </c>
      <c r="D2" s="130">
        <v>9.3736E10</v>
      </c>
      <c r="E2" s="130">
        <v>1.1201E11</v>
      </c>
    </row>
    <row r="3">
      <c r="A3" s="130" t="s">
        <v>22</v>
      </c>
      <c r="B3" s="130">
        <v>1.32E9</v>
      </c>
      <c r="C3" s="130">
        <v>8.54E8</v>
      </c>
      <c r="D3" s="130">
        <v>1.641E9</v>
      </c>
      <c r="E3" s="130">
        <v>4.335E9</v>
      </c>
    </row>
    <row r="4">
      <c r="A4" s="130" t="s">
        <v>10</v>
      </c>
      <c r="B4" s="130">
        <v>6.552E9</v>
      </c>
      <c r="C4" s="130">
        <v>6.717E9</v>
      </c>
      <c r="D4" s="130">
        <v>4.09E9</v>
      </c>
      <c r="E4" s="130">
        <v>7.711E9</v>
      </c>
    </row>
    <row r="5">
      <c r="A5" s="130" t="s">
        <v>8</v>
      </c>
      <c r="B5" s="130">
        <v>-2.722E9</v>
      </c>
      <c r="C5" s="130">
        <v>3.0425E10</v>
      </c>
      <c r="D5" s="130">
        <v>5.9248E10</v>
      </c>
      <c r="E5" s="130">
        <v>7.767E10</v>
      </c>
    </row>
    <row r="6">
      <c r="A6" s="130" t="s">
        <v>17</v>
      </c>
      <c r="B6" s="130">
        <v>5.6242E9</v>
      </c>
      <c r="C6" s="130">
        <v>7.839E9</v>
      </c>
      <c r="D6" s="130">
        <v>7.5716E9</v>
      </c>
      <c r="E6" s="130">
        <v>9.6094E9</v>
      </c>
    </row>
    <row r="7">
      <c r="A7" s="130" t="s">
        <v>28</v>
      </c>
      <c r="B7" s="130">
        <v>1.508E9</v>
      </c>
      <c r="C7" s="130">
        <v>1.669E9</v>
      </c>
      <c r="D7" s="130">
        <v>1.418E9</v>
      </c>
      <c r="E7" s="130">
        <v>1.942E9</v>
      </c>
    </row>
    <row r="8">
      <c r="A8" s="130" t="s">
        <v>27</v>
      </c>
      <c r="B8" s="130">
        <v>5.055E9</v>
      </c>
      <c r="C8" s="130">
        <v>4.557E9</v>
      </c>
      <c r="D8" s="130">
        <v>5.083E9</v>
      </c>
      <c r="E8" s="130">
        <v>4.987E9</v>
      </c>
    </row>
    <row r="9">
      <c r="A9" s="130" t="s">
        <v>11</v>
      </c>
      <c r="B9" s="130">
        <v>5.844E9</v>
      </c>
      <c r="C9" s="130">
        <v>6.292E9</v>
      </c>
      <c r="D9" s="130">
        <v>7.367E9</v>
      </c>
      <c r="E9" s="130">
        <v>8.099E9</v>
      </c>
    </row>
    <row r="10">
      <c r="A10" s="130" t="s">
        <v>20</v>
      </c>
      <c r="B10" s="130">
        <v>4.592E9</v>
      </c>
      <c r="C10" s="130">
        <v>5.665E9</v>
      </c>
      <c r="D10" s="130">
        <v>4.8E8</v>
      </c>
      <c r="E10" s="130">
        <v>8.51E9</v>
      </c>
    </row>
    <row r="11">
      <c r="A11" s="130" t="s">
        <v>9</v>
      </c>
      <c r="B11" s="130">
        <v>5.9972E10</v>
      </c>
      <c r="C11" s="130">
        <v>7.3795E10</v>
      </c>
      <c r="D11" s="130">
        <v>1.00118E11</v>
      </c>
      <c r="E11" s="130">
        <v>1.3217E11</v>
      </c>
    </row>
    <row r="12">
      <c r="A12" s="130" t="s">
        <v>26</v>
      </c>
      <c r="B12" s="130">
        <v>1.436E9</v>
      </c>
      <c r="C12" s="130">
        <v>2.181E9</v>
      </c>
      <c r="D12" s="130">
        <v>1.441E9</v>
      </c>
      <c r="E12" s="130">
        <v>2.079E9</v>
      </c>
    </row>
    <row r="13">
      <c r="A13" s="130" t="s">
        <v>21</v>
      </c>
      <c r="B13" s="130">
        <v>2.717E9</v>
      </c>
      <c r="C13" s="130">
        <v>4.959E9</v>
      </c>
      <c r="D13" s="130">
        <v>4.611E9</v>
      </c>
      <c r="E13" s="130">
        <v>2.451E9</v>
      </c>
    </row>
    <row r="14">
      <c r="A14" s="130" t="s">
        <v>13</v>
      </c>
      <c r="B14" s="130">
        <v>4.82E8</v>
      </c>
      <c r="C14" s="130">
        <v>9.87E8</v>
      </c>
      <c r="D14" s="130">
        <v>1.911E9</v>
      </c>
      <c r="E14" s="130">
        <v>1.997E9</v>
      </c>
    </row>
    <row r="15">
      <c r="A15" s="130" t="s">
        <v>14</v>
      </c>
      <c r="B15" s="130">
        <v>2.32E10</v>
      </c>
      <c r="C15" s="130">
        <v>3.9098E10</v>
      </c>
      <c r="D15" s="130">
        <v>6.236E10</v>
      </c>
      <c r="E15" s="130">
        <v>6.0458E10</v>
      </c>
    </row>
    <row r="16">
      <c r="A16" s="130" t="s">
        <v>12</v>
      </c>
      <c r="B16" s="130">
        <v>7.2738E10</v>
      </c>
      <c r="C16" s="130">
        <v>7.2361E10</v>
      </c>
      <c r="D16" s="130">
        <v>8.8136E10</v>
      </c>
      <c r="E16" s="130">
        <v>1.01832E11</v>
      </c>
    </row>
    <row r="17">
      <c r="A17" s="130" t="s">
        <v>19</v>
      </c>
      <c r="B17" s="130">
        <v>4.491924E9</v>
      </c>
      <c r="C17" s="130">
        <v>5.40799E9</v>
      </c>
      <c r="D17" s="130">
        <v>8.711631E9</v>
      </c>
      <c r="E17" s="130">
        <v>1.0981201E10</v>
      </c>
    </row>
    <row r="18">
      <c r="A18" s="130" t="s">
        <v>23</v>
      </c>
      <c r="B18" s="130">
        <v>3.1538062E10</v>
      </c>
      <c r="C18" s="130">
        <v>6.0026544E10</v>
      </c>
      <c r="D18" s="130">
        <v>1.12434512E11</v>
      </c>
      <c r="E18" s="130">
        <v>9.7842539E10</v>
      </c>
    </row>
    <row r="19">
      <c r="A19" s="130" t="s">
        <v>16</v>
      </c>
      <c r="B19" s="130">
        <v>8.91E9</v>
      </c>
      <c r="C19" s="130">
        <v>9.074E9</v>
      </c>
      <c r="D19" s="130">
        <v>9.578E9</v>
      </c>
      <c r="E19" s="130">
        <v>8.24E9</v>
      </c>
    </row>
    <row r="20">
      <c r="A20" s="130" t="s">
        <v>15</v>
      </c>
      <c r="B20" s="130">
        <v>4.3384E9</v>
      </c>
      <c r="C20" s="130">
        <v>3.9536E9</v>
      </c>
      <c r="D20" s="130">
        <v>4.4126E9</v>
      </c>
      <c r="E20" s="130">
        <v>4.5049E9</v>
      </c>
    </row>
    <row r="21" ht="15.75" customHeight="1">
      <c r="A21" s="130" t="s">
        <v>24</v>
      </c>
      <c r="B21" s="130">
        <v>2.59E9</v>
      </c>
      <c r="C21" s="130">
        <v>8.317E9</v>
      </c>
      <c r="D21" s="130">
        <v>1.1339E10</v>
      </c>
      <c r="E21" s="130">
        <v>1.0992E10</v>
      </c>
    </row>
    <row r="22" ht="15.75" customHeight="1">
      <c r="A22" s="130" t="s">
        <v>18</v>
      </c>
      <c r="B22" s="130">
        <v>1.2583E10</v>
      </c>
      <c r="C22" s="130">
        <v>1.4999E10</v>
      </c>
      <c r="D22" s="130">
        <v>7.13E9</v>
      </c>
      <c r="E22" s="130">
        <v>3.794E9</v>
      </c>
    </row>
    <row r="23" ht="15.75" customHeight="1">
      <c r="A23" s="130" t="s">
        <v>25</v>
      </c>
      <c r="B23" s="130">
        <v>3.322E9</v>
      </c>
      <c r="C23" s="130">
        <v>3.6196E9</v>
      </c>
      <c r="D23" s="130">
        <v>-5.356E8</v>
      </c>
      <c r="E23" s="130">
        <v>3.9532E9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6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6.11</v>
      </c>
      <c r="C2" s="130">
        <v>6.13</v>
      </c>
      <c r="D2" s="130">
        <v>6.08</v>
      </c>
      <c r="E2" s="130">
        <v>7.46</v>
      </c>
    </row>
    <row r="3">
      <c r="A3" s="130" t="s">
        <v>22</v>
      </c>
      <c r="B3" s="130">
        <v>0.84</v>
      </c>
      <c r="C3" s="130">
        <v>0.53</v>
      </c>
      <c r="D3" s="130">
        <v>1.0</v>
      </c>
      <c r="E3" s="130">
        <v>2.65</v>
      </c>
    </row>
    <row r="4">
      <c r="A4" s="130" t="s">
        <v>10</v>
      </c>
      <c r="B4" s="130">
        <v>12.11</v>
      </c>
      <c r="C4" s="130">
        <v>12.49</v>
      </c>
      <c r="D4" s="130">
        <v>7.56</v>
      </c>
      <c r="E4" s="130">
        <v>14.23</v>
      </c>
    </row>
    <row r="5">
      <c r="A5" s="130" t="s">
        <v>8</v>
      </c>
      <c r="B5" s="130">
        <v>-0.27</v>
      </c>
      <c r="C5" s="130">
        <v>2.9</v>
      </c>
      <c r="D5" s="130">
        <v>5.53</v>
      </c>
      <c r="E5" s="130">
        <v>7.17</v>
      </c>
    </row>
    <row r="6">
      <c r="A6" s="130" t="s">
        <v>17</v>
      </c>
      <c r="B6" s="130">
        <v>16.07</v>
      </c>
      <c r="C6" s="130">
        <v>20.59</v>
      </c>
      <c r="D6" s="130">
        <v>19.24</v>
      </c>
      <c r="E6" s="130">
        <v>26.26</v>
      </c>
    </row>
    <row r="7">
      <c r="A7" s="130" t="s">
        <v>28</v>
      </c>
      <c r="B7" s="130">
        <v>3.29</v>
      </c>
      <c r="C7" s="130">
        <v>3.63</v>
      </c>
      <c r="D7" s="130">
        <v>3.08</v>
      </c>
      <c r="E7" s="130">
        <v>4.26</v>
      </c>
    </row>
    <row r="8">
      <c r="A8" s="130" t="s">
        <v>27</v>
      </c>
      <c r="B8" s="130">
        <v>30.74</v>
      </c>
      <c r="C8" s="130">
        <v>29.99</v>
      </c>
      <c r="D8" s="130">
        <v>34.97</v>
      </c>
      <c r="E8" s="130">
        <v>36.21</v>
      </c>
    </row>
    <row r="9">
      <c r="A9" s="130" t="s">
        <v>11</v>
      </c>
      <c r="B9" s="130">
        <v>13.14</v>
      </c>
      <c r="C9" s="130">
        <v>14.16</v>
      </c>
      <c r="D9" s="130">
        <v>16.56</v>
      </c>
      <c r="E9" s="130">
        <v>18.21</v>
      </c>
    </row>
    <row r="10">
      <c r="A10" s="130" t="s">
        <v>20</v>
      </c>
      <c r="B10" s="130">
        <v>3.64</v>
      </c>
      <c r="C10" s="130">
        <v>4.5</v>
      </c>
      <c r="D10" s="130">
        <v>0.38</v>
      </c>
      <c r="E10" s="130">
        <v>6.78</v>
      </c>
    </row>
    <row r="11">
      <c r="A11" s="130" t="s">
        <v>9</v>
      </c>
      <c r="B11" s="130">
        <v>4.56</v>
      </c>
      <c r="C11" s="130">
        <v>5.8</v>
      </c>
      <c r="D11" s="130">
        <v>8.04</v>
      </c>
      <c r="E11" s="130">
        <v>10.81</v>
      </c>
    </row>
    <row r="12">
      <c r="A12" s="130" t="s">
        <v>26</v>
      </c>
      <c r="B12" s="130">
        <v>1.01</v>
      </c>
      <c r="C12" s="130">
        <v>1.55</v>
      </c>
      <c r="D12" s="130">
        <v>1.05</v>
      </c>
      <c r="E12" s="130">
        <v>1.53</v>
      </c>
    </row>
    <row r="13">
      <c r="A13" s="130" t="s">
        <v>21</v>
      </c>
      <c r="B13" s="130">
        <v>1.96</v>
      </c>
      <c r="C13" s="130">
        <v>3.62</v>
      </c>
      <c r="D13" s="130">
        <v>3.42</v>
      </c>
      <c r="E13" s="130">
        <v>1.89</v>
      </c>
    </row>
    <row r="14">
      <c r="A14" s="130" t="s">
        <v>13</v>
      </c>
      <c r="B14" s="130">
        <v>9.53</v>
      </c>
      <c r="C14" s="130">
        <v>19.46</v>
      </c>
      <c r="D14" s="130">
        <v>37.69</v>
      </c>
      <c r="E14" s="130">
        <v>39.4</v>
      </c>
    </row>
    <row r="15">
      <c r="A15" s="130" t="s">
        <v>14</v>
      </c>
      <c r="B15" s="130">
        <v>8.59</v>
      </c>
      <c r="C15" s="130">
        <v>14.87</v>
      </c>
      <c r="D15" s="130">
        <v>23.86</v>
      </c>
      <c r="E15" s="130">
        <v>23.49</v>
      </c>
    </row>
    <row r="16">
      <c r="A16" s="130" t="s">
        <v>12</v>
      </c>
      <c r="B16" s="130">
        <v>9.65</v>
      </c>
      <c r="C16" s="130">
        <v>9.68</v>
      </c>
      <c r="D16" s="130">
        <v>11.8</v>
      </c>
      <c r="E16" s="130">
        <v>13.64</v>
      </c>
    </row>
    <row r="17">
      <c r="A17" s="130" t="s">
        <v>19</v>
      </c>
      <c r="B17" s="130">
        <v>0.995</v>
      </c>
      <c r="C17" s="130">
        <v>1.203</v>
      </c>
      <c r="D17" s="130">
        <v>1.983</v>
      </c>
      <c r="E17" s="130">
        <v>2.53</v>
      </c>
    </row>
    <row r="18">
      <c r="A18" s="130" t="s">
        <v>23</v>
      </c>
      <c r="B18" s="130">
        <v>21.92</v>
      </c>
      <c r="C18" s="130">
        <v>41.16</v>
      </c>
      <c r="D18" s="130">
        <v>76.0</v>
      </c>
      <c r="E18" s="130">
        <v>66.0</v>
      </c>
    </row>
    <row r="19">
      <c r="A19" s="130" t="s">
        <v>16</v>
      </c>
      <c r="B19" s="130">
        <v>6.42</v>
      </c>
      <c r="C19" s="130">
        <v>6.56</v>
      </c>
      <c r="D19" s="130">
        <v>6.95</v>
      </c>
      <c r="E19" s="130">
        <v>6.0</v>
      </c>
    </row>
    <row r="20">
      <c r="A20" s="130" t="s">
        <v>15</v>
      </c>
      <c r="B20" s="130">
        <v>38.22</v>
      </c>
      <c r="C20" s="130">
        <v>34.77</v>
      </c>
      <c r="D20" s="130">
        <v>38.34</v>
      </c>
      <c r="E20" s="130">
        <v>41.48</v>
      </c>
    </row>
    <row r="21" ht="15.75" customHeight="1">
      <c r="A21" s="130" t="s">
        <v>24</v>
      </c>
      <c r="B21" s="130">
        <v>2.06</v>
      </c>
      <c r="C21" s="130">
        <v>6.93</v>
      </c>
      <c r="D21" s="130">
        <v>9.66</v>
      </c>
      <c r="E21" s="130">
        <v>9.72</v>
      </c>
    </row>
    <row r="22" ht="15.75" customHeight="1">
      <c r="A22" s="130" t="s">
        <v>18</v>
      </c>
      <c r="B22" s="130">
        <v>3.62</v>
      </c>
      <c r="C22" s="130">
        <v>4.31</v>
      </c>
      <c r="D22" s="130">
        <v>2.04</v>
      </c>
      <c r="E22" s="130">
        <v>1.08</v>
      </c>
    </row>
    <row r="23" ht="15.75" customHeight="1">
      <c r="A23" s="130" t="s">
        <v>25</v>
      </c>
      <c r="B23" s="130">
        <v>12.82</v>
      </c>
      <c r="C23" s="130">
        <v>13.89</v>
      </c>
      <c r="D23" s="130">
        <v>-2.08</v>
      </c>
      <c r="E23" s="130">
        <v>15.32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6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0.91</v>
      </c>
      <c r="C2" s="130">
        <v>0.95</v>
      </c>
      <c r="D2" s="130">
        <v>0.99</v>
      </c>
      <c r="E2" s="130">
        <v>1.03</v>
      </c>
    </row>
    <row r="3">
      <c r="A3" s="130" t="s">
        <v>10</v>
      </c>
      <c r="B3" s="130">
        <v>7.76</v>
      </c>
      <c r="C3" s="130">
        <v>8.52</v>
      </c>
      <c r="D3" s="130">
        <v>9.0</v>
      </c>
      <c r="E3" s="130">
        <v>9.52</v>
      </c>
    </row>
    <row r="4">
      <c r="A4" s="130" t="s">
        <v>17</v>
      </c>
      <c r="B4" s="130">
        <v>6.634</v>
      </c>
      <c r="C4" s="130">
        <v>6.453</v>
      </c>
      <c r="D4" s="130">
        <v>6.713</v>
      </c>
      <c r="E4" s="130">
        <v>7.372000000000001</v>
      </c>
    </row>
    <row r="5">
      <c r="A5" s="130" t="s">
        <v>28</v>
      </c>
      <c r="B5" s="130">
        <v>1.7</v>
      </c>
      <c r="C5" s="130">
        <v>1.97</v>
      </c>
      <c r="D5" s="130">
        <v>2.13</v>
      </c>
      <c r="E5" s="130">
        <v>2.33</v>
      </c>
    </row>
    <row r="6">
      <c r="A6" s="130" t="s">
        <v>11</v>
      </c>
      <c r="B6" s="130">
        <v>3.49</v>
      </c>
      <c r="C6" s="130">
        <v>18.96</v>
      </c>
      <c r="D6" s="130">
        <v>4.5</v>
      </c>
      <c r="E6" s="130">
        <v>5.06</v>
      </c>
    </row>
    <row r="7">
      <c r="A7" s="130" t="s">
        <v>20</v>
      </c>
      <c r="B7" s="130">
        <v>2.92</v>
      </c>
      <c r="C7" s="130">
        <v>3.0</v>
      </c>
      <c r="D7" s="130">
        <v>3.08</v>
      </c>
      <c r="E7" s="130">
        <v>3.16</v>
      </c>
    </row>
    <row r="8">
      <c r="A8" s="130" t="s">
        <v>9</v>
      </c>
      <c r="B8" s="130">
        <v>0.0</v>
      </c>
      <c r="C8" s="130">
        <v>0.0</v>
      </c>
      <c r="D8" s="130">
        <v>0.6000000000000001</v>
      </c>
      <c r="E8" s="130">
        <v>0.83</v>
      </c>
    </row>
    <row r="9">
      <c r="A9" s="130" t="s">
        <v>26</v>
      </c>
      <c r="B9" s="130">
        <v>0.764</v>
      </c>
      <c r="C9" s="130">
        <v>0.8150000000000001</v>
      </c>
      <c r="D9" s="130">
        <v>0.875</v>
      </c>
      <c r="E9" s="130">
        <v>0.92</v>
      </c>
    </row>
    <row r="10">
      <c r="A10" s="130" t="s">
        <v>21</v>
      </c>
      <c r="B10" s="130">
        <v>1.47</v>
      </c>
      <c r="C10" s="130">
        <v>1.62</v>
      </c>
      <c r="D10" s="130">
        <v>1.79</v>
      </c>
      <c r="E10" s="130">
        <v>1.94</v>
      </c>
    </row>
    <row r="11">
      <c r="A11" s="130" t="s">
        <v>13</v>
      </c>
      <c r="B11" s="130">
        <v>0.0</v>
      </c>
      <c r="C11" s="130">
        <v>0.0</v>
      </c>
      <c r="D11" s="130">
        <v>0.0</v>
      </c>
      <c r="E11" s="130">
        <v>0.0</v>
      </c>
    </row>
    <row r="12">
      <c r="A12" s="130" t="s">
        <v>14</v>
      </c>
      <c r="B12" s="130">
        <v>0.0</v>
      </c>
      <c r="C12" s="130">
        <v>0.0</v>
      </c>
      <c r="D12" s="130">
        <v>2.0</v>
      </c>
      <c r="E12" s="130">
        <v>2.1</v>
      </c>
    </row>
    <row r="13">
      <c r="A13" s="130" t="s">
        <v>12</v>
      </c>
      <c r="B13" s="130">
        <v>2.54</v>
      </c>
      <c r="C13" s="130">
        <v>2.79</v>
      </c>
      <c r="D13" s="130">
        <v>3.08</v>
      </c>
      <c r="E13" s="130">
        <v>3.4</v>
      </c>
    </row>
    <row r="14">
      <c r="A14" s="130" t="s">
        <v>16</v>
      </c>
      <c r="B14" s="130">
        <v>4.524999999999999</v>
      </c>
      <c r="C14" s="130">
        <v>4.944999999999999</v>
      </c>
      <c r="D14" s="130">
        <v>5.33</v>
      </c>
      <c r="E14" s="130">
        <v>5.624000000000001</v>
      </c>
    </row>
    <row r="15">
      <c r="A15" s="130" t="s">
        <v>15</v>
      </c>
      <c r="B15" s="130"/>
      <c r="C15" s="130">
        <v>0.0</v>
      </c>
      <c r="D15" s="130">
        <v>0.0</v>
      </c>
      <c r="E15" s="130">
        <v>3.52</v>
      </c>
    </row>
    <row r="16">
      <c r="A16" s="130" t="s">
        <v>24</v>
      </c>
      <c r="B16" s="130">
        <v>0.0</v>
      </c>
      <c r="C16" s="130">
        <v>0.65</v>
      </c>
      <c r="D16" s="130">
        <v>2.83</v>
      </c>
      <c r="E16" s="130">
        <v>3.66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86"/>
    <col customWidth="1" min="3" max="3" width="13.71"/>
    <col customWidth="1" min="4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1.11443E11</v>
      </c>
      <c r="C2" s="130">
        <v>9.9584E10</v>
      </c>
      <c r="D2" s="130">
        <v>1.08807E11</v>
      </c>
      <c r="E2" s="130">
        <v>9.8767E10</v>
      </c>
    </row>
    <row r="3">
      <c r="A3" s="130" t="s">
        <v>22</v>
      </c>
      <c r="B3" s="130">
        <v>3.115E9</v>
      </c>
      <c r="C3" s="130">
        <v>1.121E9</v>
      </c>
      <c r="D3" s="130">
        <v>2.405E9</v>
      </c>
      <c r="E3" s="130">
        <v>6.735E9</v>
      </c>
    </row>
    <row r="4">
      <c r="A4" s="130" t="s">
        <v>10</v>
      </c>
      <c r="B4" s="130">
        <v>8.785E9</v>
      </c>
      <c r="C4" s="130">
        <v>7.359E9</v>
      </c>
      <c r="D4" s="130">
        <v>1.0394E10</v>
      </c>
      <c r="E4" s="130">
        <v>8.1E9</v>
      </c>
    </row>
    <row r="5">
      <c r="A5" s="130" t="s">
        <v>8</v>
      </c>
      <c r="B5" s="130">
        <v>-1.6893E10</v>
      </c>
      <c r="C5" s="130">
        <v>3.2217E10</v>
      </c>
      <c r="D5" s="130">
        <v>3.2878E10</v>
      </c>
      <c r="E5" s="130">
        <v>7.695E9</v>
      </c>
    </row>
    <row r="6">
      <c r="A6" s="130" t="s">
        <v>17</v>
      </c>
      <c r="B6" s="130">
        <v>7.1675E9</v>
      </c>
      <c r="C6" s="130">
        <v>3.2472E9</v>
      </c>
      <c r="D6" s="130">
        <v>9.0831E9</v>
      </c>
      <c r="E6" s="130">
        <v>1.10273E10</v>
      </c>
    </row>
    <row r="7">
      <c r="A7" s="130" t="s">
        <v>28</v>
      </c>
      <c r="B7" s="130">
        <v>2.329E9</v>
      </c>
      <c r="C7" s="130">
        <v>1.994E9</v>
      </c>
      <c r="D7" s="130">
        <v>2.122E9</v>
      </c>
      <c r="E7" s="130">
        <v>2.003E9</v>
      </c>
    </row>
    <row r="8">
      <c r="A8" s="130" t="s">
        <v>27</v>
      </c>
      <c r="B8" s="130">
        <v>5.549E9</v>
      </c>
      <c r="C8" s="130">
        <v>3.318E9</v>
      </c>
      <c r="D8" s="130">
        <v>3.161E9</v>
      </c>
      <c r="E8" s="130">
        <v>4.418E9</v>
      </c>
    </row>
    <row r="9">
      <c r="A9" s="130" t="s">
        <v>11</v>
      </c>
      <c r="B9" s="130">
        <v>3.501E9</v>
      </c>
      <c r="C9" s="130">
        <v>6.745E9</v>
      </c>
      <c r="D9" s="130">
        <v>6.629E9</v>
      </c>
      <c r="E9" s="130">
        <v>7.837E9</v>
      </c>
    </row>
    <row r="10">
      <c r="A10" s="130" t="s">
        <v>20</v>
      </c>
      <c r="B10" s="130">
        <v>8.344E9</v>
      </c>
      <c r="C10" s="130">
        <v>7.421E9</v>
      </c>
      <c r="D10" s="130">
        <v>1.0305E10</v>
      </c>
      <c r="E10" s="130">
        <v>9.456E9</v>
      </c>
    </row>
    <row r="11">
      <c r="A11" s="130" t="s">
        <v>9</v>
      </c>
      <c r="B11" s="130">
        <v>6.001E10</v>
      </c>
      <c r="C11" s="130">
        <v>6.9495E10</v>
      </c>
      <c r="D11" s="130">
        <v>7.2764E10</v>
      </c>
      <c r="E11" s="130">
        <v>7.3266E10</v>
      </c>
    </row>
    <row r="12">
      <c r="A12" s="130" t="s">
        <v>26</v>
      </c>
      <c r="B12" s="130">
        <v>2.458E9</v>
      </c>
      <c r="C12" s="130">
        <v>8.48E8</v>
      </c>
      <c r="D12" s="130">
        <v>1.597E9</v>
      </c>
      <c r="E12" s="130">
        <v>1.488E9</v>
      </c>
    </row>
    <row r="13">
      <c r="A13" s="130" t="s">
        <v>21</v>
      </c>
      <c r="B13" s="130">
        <v>3.002E9</v>
      </c>
      <c r="C13" s="130">
        <v>3.602E9</v>
      </c>
      <c r="D13" s="130">
        <v>3.523E9</v>
      </c>
      <c r="E13" s="130">
        <v>3.235E9</v>
      </c>
    </row>
    <row r="14">
      <c r="A14" s="130" t="s">
        <v>13</v>
      </c>
      <c r="B14" s="130">
        <v>2.485E9</v>
      </c>
      <c r="C14" s="130">
        <v>4.631E9</v>
      </c>
      <c r="D14" s="130">
        <v>7.058E9</v>
      </c>
      <c r="E14" s="130">
        <v>1.0773E10</v>
      </c>
    </row>
    <row r="15">
      <c r="A15" s="130" t="s">
        <v>14</v>
      </c>
      <c r="B15" s="130">
        <v>1.9289E10</v>
      </c>
      <c r="C15" s="130">
        <v>4.4068E10</v>
      </c>
      <c r="D15" s="130">
        <v>5.4072E10</v>
      </c>
      <c r="E15" s="130">
        <v>4.6109E10</v>
      </c>
    </row>
    <row r="16">
      <c r="A16" s="130" t="s">
        <v>12</v>
      </c>
      <c r="B16" s="130">
        <v>6.5149E10</v>
      </c>
      <c r="C16" s="130">
        <v>5.9475E10</v>
      </c>
      <c r="D16" s="130">
        <v>7.4071E10</v>
      </c>
      <c r="E16" s="130">
        <v>7.1611E10</v>
      </c>
    </row>
    <row r="17">
      <c r="A17" s="130" t="s">
        <v>19</v>
      </c>
      <c r="B17" s="130">
        <v>1.618528E9</v>
      </c>
      <c r="C17" s="130">
        <v>6.925749E9</v>
      </c>
      <c r="D17" s="130">
        <v>6.921826E9</v>
      </c>
      <c r="E17" s="130">
        <v>9.461053E9</v>
      </c>
    </row>
    <row r="18">
      <c r="A18" s="130" t="s">
        <v>23</v>
      </c>
      <c r="B18" s="130">
        <v>4.7872144E10</v>
      </c>
      <c r="C18" s="130">
        <v>9.3578652E10</v>
      </c>
      <c r="D18" s="130">
        <v>1.20962155E11</v>
      </c>
      <c r="E18" s="130">
        <v>1.05793613E11</v>
      </c>
    </row>
    <row r="19">
      <c r="A19" s="130" t="s">
        <v>16</v>
      </c>
      <c r="B19" s="130">
        <v>5.604E9</v>
      </c>
      <c r="C19" s="130">
        <v>7.924E9</v>
      </c>
      <c r="D19" s="130">
        <v>7.189E9</v>
      </c>
      <c r="E19" s="130">
        <v>7.672E9</v>
      </c>
    </row>
    <row r="20">
      <c r="A20" s="130" t="s">
        <v>15</v>
      </c>
      <c r="B20" s="130">
        <v>3.398E9</v>
      </c>
      <c r="C20" s="130">
        <v>3.6676E9</v>
      </c>
      <c r="D20" s="130">
        <v>3.5389E9</v>
      </c>
      <c r="E20" s="130">
        <v>3.7652E9</v>
      </c>
    </row>
    <row r="21" ht="15.75" customHeight="1">
      <c r="A21" s="130" t="s">
        <v>24</v>
      </c>
      <c r="B21" s="130">
        <v>-5.2E8</v>
      </c>
      <c r="C21" s="130">
        <v>7.748E9</v>
      </c>
      <c r="D21" s="130">
        <v>9.982E9</v>
      </c>
      <c r="E21" s="130">
        <v>1.5427E10</v>
      </c>
    </row>
    <row r="22" ht="15.75" customHeight="1">
      <c r="A22" s="130" t="s">
        <v>18</v>
      </c>
      <c r="B22" s="130">
        <v>7.552E9</v>
      </c>
      <c r="C22" s="130">
        <v>4.357E9</v>
      </c>
      <c r="D22" s="130">
        <v>3.581E9</v>
      </c>
      <c r="E22" s="130">
        <v>6.22E9</v>
      </c>
    </row>
    <row r="23" ht="15.75" customHeight="1">
      <c r="A23" s="130" t="s">
        <v>25</v>
      </c>
      <c r="B23" s="130">
        <v>3.9252E9</v>
      </c>
      <c r="C23" s="130">
        <v>3.2789E9</v>
      </c>
      <c r="D23" s="130">
        <v>-9.78E8</v>
      </c>
      <c r="E23" s="130">
        <v>3.1938E9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1.19103E11</v>
      </c>
      <c r="C2" s="130">
        <v>1.13736E11</v>
      </c>
      <c r="D2" s="130">
        <v>1.23485E11</v>
      </c>
      <c r="E2" s="130">
        <v>1.32729E11</v>
      </c>
    </row>
    <row r="3">
      <c r="A3" s="130" t="s">
        <v>22</v>
      </c>
      <c r="B3" s="130">
        <v>1.184E9</v>
      </c>
      <c r="C3" s="130">
        <v>4.92E8</v>
      </c>
      <c r="D3" s="130">
        <v>1.989E9</v>
      </c>
      <c r="E3" s="130">
        <v>4.14E9</v>
      </c>
    </row>
    <row r="4">
      <c r="A4" s="130" t="s">
        <v>10</v>
      </c>
      <c r="B4" s="130">
        <v>7.346E9</v>
      </c>
      <c r="C4" s="130">
        <v>7.855E9</v>
      </c>
      <c r="D4" s="130">
        <v>4.609E9</v>
      </c>
      <c r="E4" s="130">
        <v>8.976E9</v>
      </c>
    </row>
    <row r="5">
      <c r="A5" s="130" t="s">
        <v>8</v>
      </c>
      <c r="B5" s="130">
        <v>-5.936E9</v>
      </c>
      <c r="C5" s="130">
        <v>3.7557E10</v>
      </c>
      <c r="D5" s="130">
        <v>6.8614E10</v>
      </c>
      <c r="E5" s="130">
        <v>9.7311E10</v>
      </c>
    </row>
    <row r="6">
      <c r="A6" s="130" t="s">
        <v>17</v>
      </c>
      <c r="B6" s="130">
        <v>6.4561E9</v>
      </c>
      <c r="C6" s="130">
        <v>9.0835E9</v>
      </c>
      <c r="D6" s="130">
        <v>9.0424E9</v>
      </c>
      <c r="E6" s="130">
        <v>1.14061E10</v>
      </c>
    </row>
    <row r="7">
      <c r="A7" s="130" t="s">
        <v>28</v>
      </c>
      <c r="B7" s="130">
        <v>1.957E9</v>
      </c>
      <c r="C7" s="130">
        <v>2.203E9</v>
      </c>
      <c r="D7" s="130">
        <v>1.936E9</v>
      </c>
      <c r="E7" s="130">
        <v>2.569E9</v>
      </c>
    </row>
    <row r="8">
      <c r="A8" s="130" t="s">
        <v>27</v>
      </c>
      <c r="B8" s="130">
        <v>7.462E9</v>
      </c>
      <c r="C8" s="130">
        <v>6.854E9</v>
      </c>
      <c r="D8" s="130">
        <v>7.502E9</v>
      </c>
      <c r="E8" s="130">
        <v>7.458E9</v>
      </c>
    </row>
    <row r="9">
      <c r="A9" s="130" t="s">
        <v>11</v>
      </c>
      <c r="B9" s="130">
        <v>7.84E9</v>
      </c>
      <c r="C9" s="130">
        <v>8.487E9</v>
      </c>
      <c r="D9" s="130">
        <v>9.74E9</v>
      </c>
      <c r="E9" s="130">
        <v>1.0818E10</v>
      </c>
    </row>
    <row r="10">
      <c r="A10" s="130" t="s">
        <v>20</v>
      </c>
      <c r="B10" s="130">
        <v>5.814E9</v>
      </c>
      <c r="C10" s="130">
        <v>6.859E9</v>
      </c>
      <c r="D10" s="130">
        <v>6.9E8</v>
      </c>
      <c r="E10" s="130">
        <v>9.796E9</v>
      </c>
    </row>
    <row r="11">
      <c r="A11" s="130" t="s">
        <v>9</v>
      </c>
      <c r="B11" s="130">
        <v>7.1328E10</v>
      </c>
      <c r="C11" s="130">
        <v>8.5717E10</v>
      </c>
      <c r="D11" s="130">
        <v>1.19815E11</v>
      </c>
      <c r="E11" s="130">
        <v>1.58826E11</v>
      </c>
    </row>
    <row r="12">
      <c r="A12" s="130" t="s">
        <v>26</v>
      </c>
      <c r="B12" s="130">
        <v>1.719E9</v>
      </c>
      <c r="C12" s="130">
        <v>2.757E9</v>
      </c>
      <c r="D12" s="130">
        <v>1.914E9</v>
      </c>
      <c r="E12" s="130">
        <v>2.687E9</v>
      </c>
    </row>
    <row r="13">
      <c r="A13" s="130" t="s">
        <v>21</v>
      </c>
      <c r="B13" s="130">
        <v>3.228E9</v>
      </c>
      <c r="C13" s="130">
        <v>5.88E9</v>
      </c>
      <c r="D13" s="130">
        <v>6.261E9</v>
      </c>
      <c r="E13" s="130">
        <v>3.014E9</v>
      </c>
    </row>
    <row r="14">
      <c r="A14" s="130" t="s">
        <v>13</v>
      </c>
      <c r="B14" s="130">
        <v>7.8E8</v>
      </c>
      <c r="C14" s="130">
        <v>1.553E9</v>
      </c>
      <c r="D14" s="130">
        <v>2.432E9</v>
      </c>
      <c r="E14" s="130">
        <v>2.842E9</v>
      </c>
    </row>
    <row r="15">
      <c r="A15" s="130" t="s">
        <v>14</v>
      </c>
      <c r="B15" s="130">
        <v>2.8819E10</v>
      </c>
      <c r="C15" s="130">
        <v>4.7428E10</v>
      </c>
      <c r="D15" s="130">
        <v>7.0663E10</v>
      </c>
      <c r="E15" s="130">
        <v>8.5932E10</v>
      </c>
    </row>
    <row r="16">
      <c r="A16" s="130" t="s">
        <v>12</v>
      </c>
      <c r="B16" s="130">
        <v>8.3716E10</v>
      </c>
      <c r="C16" s="130">
        <v>8.9311E10</v>
      </c>
      <c r="D16" s="130">
        <v>1.07787E11</v>
      </c>
      <c r="E16" s="130">
        <v>1.23627E11</v>
      </c>
    </row>
    <row r="17">
      <c r="A17" s="130" t="s">
        <v>19</v>
      </c>
      <c r="B17" s="130">
        <v>5.263929E9</v>
      </c>
      <c r="C17" s="130">
        <v>6.205405E9</v>
      </c>
      <c r="D17" s="130">
        <v>9.965657E9</v>
      </c>
      <c r="E17" s="130">
        <v>1.2722552E10</v>
      </c>
    </row>
    <row r="18">
      <c r="A18" s="130" t="s">
        <v>23</v>
      </c>
      <c r="B18" s="130">
        <v>3.6419014E10</v>
      </c>
      <c r="C18" s="130">
        <v>7.1881155E10</v>
      </c>
      <c r="D18" s="130">
        <v>1.32684068E11</v>
      </c>
      <c r="E18" s="130">
        <v>1.1944629E11</v>
      </c>
    </row>
    <row r="19">
      <c r="A19" s="130" t="s">
        <v>16</v>
      </c>
      <c r="B19" s="130">
        <v>1.0705E10</v>
      </c>
      <c r="C19" s="130">
        <v>1.1417E10</v>
      </c>
      <c r="D19" s="130">
        <v>1.1946E10</v>
      </c>
      <c r="E19" s="130">
        <v>1.0244E10</v>
      </c>
    </row>
    <row r="20">
      <c r="A20" s="130" t="s">
        <v>15</v>
      </c>
      <c r="B20" s="130">
        <v>4.8588E9</v>
      </c>
      <c r="C20" s="130">
        <v>4.1993E9</v>
      </c>
      <c r="D20" s="130">
        <v>4.7799E9</v>
      </c>
      <c r="E20" s="130">
        <v>5.2307E9</v>
      </c>
    </row>
    <row r="21" ht="15.75" customHeight="1">
      <c r="A21" s="130" t="s">
        <v>24</v>
      </c>
      <c r="B21" s="130">
        <v>3.146E9</v>
      </c>
      <c r="C21" s="130">
        <v>1.0999E10</v>
      </c>
      <c r="D21" s="130">
        <v>1.4712E10</v>
      </c>
      <c r="E21" s="130">
        <v>1.4281E10</v>
      </c>
    </row>
    <row r="22" ht="15.75" customHeight="1">
      <c r="A22" s="130" t="s">
        <v>18</v>
      </c>
      <c r="B22" s="130">
        <v>1.3719E10</v>
      </c>
      <c r="C22" s="130">
        <v>9.973E9</v>
      </c>
      <c r="D22" s="130">
        <v>8.99E9</v>
      </c>
      <c r="E22" s="130">
        <v>5.278E9</v>
      </c>
    </row>
    <row r="23" ht="15.75" customHeight="1">
      <c r="A23" s="130" t="s">
        <v>25</v>
      </c>
      <c r="B23" s="130">
        <v>4.2324E9</v>
      </c>
      <c r="C23" s="130">
        <v>4.3798E9</v>
      </c>
      <c r="D23" s="130">
        <v>2.485E8</v>
      </c>
      <c r="E23" s="130">
        <v>4.6432E9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3.71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1.93E10</v>
      </c>
      <c r="C2" s="130">
        <v>1.6741E10</v>
      </c>
      <c r="D2" s="130">
        <v>2.9749E10</v>
      </c>
      <c r="E2" s="130">
        <v>2.0719E10</v>
      </c>
    </row>
    <row r="3">
      <c r="A3" s="130" t="s">
        <v>22</v>
      </c>
      <c r="B3" s="130">
        <v>-1.22E8</v>
      </c>
      <c r="C3" s="130">
        <v>-3.46E8</v>
      </c>
      <c r="D3" s="130">
        <v>3.81E8</v>
      </c>
      <c r="E3" s="130">
        <v>-1.03E8</v>
      </c>
    </row>
    <row r="4">
      <c r="A4" s="130" t="s">
        <v>10</v>
      </c>
      <c r="B4" s="130">
        <v>7.94E8</v>
      </c>
      <c r="C4" s="130">
        <v>1.138E9</v>
      </c>
      <c r="D4" s="130">
        <v>5.19E8</v>
      </c>
      <c r="E4" s="130">
        <v>1.265E9</v>
      </c>
    </row>
    <row r="5">
      <c r="A5" s="130" t="s">
        <v>17</v>
      </c>
      <c r="B5" s="130">
        <v>9.699E8</v>
      </c>
      <c r="C5" s="130">
        <v>1.4358E9</v>
      </c>
      <c r="D5" s="130">
        <v>1.6806E9</v>
      </c>
      <c r="E5" s="130">
        <v>2.0134E9</v>
      </c>
    </row>
    <row r="6">
      <c r="A6" s="130" t="s">
        <v>28</v>
      </c>
      <c r="B6" s="130">
        <v>4.36E8</v>
      </c>
      <c r="C6" s="130">
        <v>5.34E8</v>
      </c>
      <c r="D6" s="130">
        <v>4.92E8</v>
      </c>
      <c r="E6" s="130">
        <v>5.9E8</v>
      </c>
    </row>
    <row r="7">
      <c r="A7" s="130" t="s">
        <v>27</v>
      </c>
      <c r="B7" s="130">
        <v>1.613E9</v>
      </c>
      <c r="C7" s="130">
        <v>1.593E9</v>
      </c>
      <c r="D7" s="130">
        <v>1.649E9</v>
      </c>
      <c r="E7" s="130">
        <v>1.692E9</v>
      </c>
    </row>
    <row r="8">
      <c r="A8" s="130" t="s">
        <v>11</v>
      </c>
      <c r="B8" s="130">
        <v>1.925E9</v>
      </c>
      <c r="C8" s="130">
        <v>2.195E9</v>
      </c>
      <c r="D8" s="130">
        <v>2.373E9</v>
      </c>
      <c r="E8" s="130">
        <v>2.719E9</v>
      </c>
    </row>
    <row r="9">
      <c r="A9" s="130" t="s">
        <v>20</v>
      </c>
      <c r="B9" s="130">
        <v>1.248E9</v>
      </c>
      <c r="C9" s="130">
        <v>1.247E9</v>
      </c>
      <c r="D9" s="130">
        <v>2.11E8</v>
      </c>
      <c r="E9" s="130">
        <v>1.286E9</v>
      </c>
    </row>
    <row r="10">
      <c r="A10" s="130" t="s">
        <v>9</v>
      </c>
      <c r="B10" s="130">
        <v>1.1356E10</v>
      </c>
      <c r="C10" s="130">
        <v>1.1922E10</v>
      </c>
      <c r="D10" s="130">
        <v>1.9697E10</v>
      </c>
      <c r="E10" s="130">
        <v>2.6656E10</v>
      </c>
    </row>
    <row r="11">
      <c r="A11" s="130" t="s">
        <v>26</v>
      </c>
      <c r="B11" s="130">
        <v>2.84E8</v>
      </c>
      <c r="C11" s="130">
        <v>5.76E8</v>
      </c>
      <c r="D11" s="130">
        <v>4.73E8</v>
      </c>
      <c r="E11" s="130">
        <v>6.08E8</v>
      </c>
    </row>
    <row r="12">
      <c r="A12" s="130" t="s">
        <v>21</v>
      </c>
      <c r="B12" s="130">
        <v>8.65E8</v>
      </c>
      <c r="C12" s="130">
        <v>1.537E9</v>
      </c>
      <c r="D12" s="130">
        <v>1.469E9</v>
      </c>
      <c r="E12" s="130">
        <v>7.82E8</v>
      </c>
    </row>
    <row r="13">
      <c r="A13" s="130" t="s">
        <v>13</v>
      </c>
      <c r="B13" s="130">
        <v>2.98E8</v>
      </c>
      <c r="C13" s="130">
        <v>5.69E8</v>
      </c>
      <c r="D13" s="130">
        <v>5.21E8</v>
      </c>
      <c r="E13" s="130">
        <v>8.45E8</v>
      </c>
    </row>
    <row r="14">
      <c r="A14" s="130" t="s">
        <v>14</v>
      </c>
      <c r="B14" s="130">
        <v>5.619E9</v>
      </c>
      <c r="C14" s="130">
        <v>8.33E9</v>
      </c>
      <c r="D14" s="130">
        <v>8.303E9</v>
      </c>
      <c r="E14" s="130">
        <v>2.5474E10</v>
      </c>
    </row>
    <row r="15">
      <c r="A15" s="130" t="s">
        <v>12</v>
      </c>
      <c r="B15" s="130">
        <v>1.0978E10</v>
      </c>
      <c r="C15" s="130">
        <v>1.695E10</v>
      </c>
      <c r="D15" s="130">
        <v>1.9651E10</v>
      </c>
      <c r="E15" s="130">
        <v>2.1795E10</v>
      </c>
    </row>
    <row r="16">
      <c r="A16" s="130" t="s">
        <v>19</v>
      </c>
      <c r="B16" s="130">
        <v>7.72005E8</v>
      </c>
      <c r="C16" s="130">
        <v>7.97415E8</v>
      </c>
      <c r="D16" s="130">
        <v>1.254026E9</v>
      </c>
      <c r="E16" s="130">
        <v>1.741351E9</v>
      </c>
    </row>
    <row r="17">
      <c r="A17" s="130" t="s">
        <v>23</v>
      </c>
      <c r="B17" s="130">
        <v>4.725667E9</v>
      </c>
      <c r="C17" s="130">
        <v>1.1849904E10</v>
      </c>
      <c r="D17" s="130">
        <v>2.0266781E10</v>
      </c>
      <c r="E17" s="130">
        <v>2.1732756E10</v>
      </c>
    </row>
    <row r="18">
      <c r="A18" s="130" t="s">
        <v>16</v>
      </c>
      <c r="B18" s="130">
        <v>1.727E9</v>
      </c>
      <c r="C18" s="130">
        <v>2.262E9</v>
      </c>
      <c r="D18" s="130">
        <v>2.32E9</v>
      </c>
      <c r="E18" s="130">
        <v>1.949E9</v>
      </c>
    </row>
    <row r="19">
      <c r="A19" s="130" t="s">
        <v>15</v>
      </c>
      <c r="B19" s="130">
        <v>5.204E8</v>
      </c>
      <c r="C19" s="130">
        <v>2.457E8</v>
      </c>
      <c r="D19" s="130">
        <v>3.673E8</v>
      </c>
      <c r="E19" s="130">
        <v>7.258E8</v>
      </c>
    </row>
    <row r="20">
      <c r="A20" s="130" t="s">
        <v>24</v>
      </c>
      <c r="B20" s="130">
        <v>5.56E8</v>
      </c>
      <c r="C20" s="130">
        <v>2.682E9</v>
      </c>
      <c r="D20" s="130">
        <v>3.373E9</v>
      </c>
      <c r="E20" s="130">
        <v>3.289E9</v>
      </c>
    </row>
    <row r="21" ht="15.75" customHeight="1">
      <c r="A21" s="130" t="s">
        <v>18</v>
      </c>
      <c r="B21" s="130">
        <v>1.132E9</v>
      </c>
      <c r="C21" s="130">
        <v>-5.001E9</v>
      </c>
      <c r="D21" s="130">
        <v>1.837E9</v>
      </c>
      <c r="E21" s="130">
        <v>1.423E9</v>
      </c>
    </row>
    <row r="22" ht="15.75" customHeight="1">
      <c r="A22" s="130" t="s">
        <v>25</v>
      </c>
      <c r="B22" s="130">
        <v>9.104E8</v>
      </c>
      <c r="C22" s="130">
        <v>7.602E8</v>
      </c>
      <c r="D22" s="130">
        <v>7.841E8</v>
      </c>
      <c r="E22" s="130">
        <v>6.9E8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4" width="15.43"/>
    <col customWidth="1" min="5" max="5" width="16.0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0.1620446168442441</v>
      </c>
      <c r="C2" s="130">
        <v>0.1471917422803686</v>
      </c>
      <c r="D2" s="130">
        <v>0.2409118516418998</v>
      </c>
      <c r="E2" s="130">
        <v>0.1561000233558604</v>
      </c>
    </row>
    <row r="3">
      <c r="A3" s="130" t="s">
        <v>22</v>
      </c>
      <c r="B3" s="130">
        <v>-0.1030405405405405</v>
      </c>
      <c r="C3" s="130">
        <v>-0.7032520325203252</v>
      </c>
      <c r="D3" s="130">
        <v>0.191553544494721</v>
      </c>
      <c r="E3" s="130">
        <v>-0.0248792270531401</v>
      </c>
    </row>
    <row r="4">
      <c r="A4" s="130" t="s">
        <v>10</v>
      </c>
      <c r="B4" s="130">
        <v>0.1080860332153553</v>
      </c>
      <c r="C4" s="130">
        <v>0.1448758752387015</v>
      </c>
      <c r="D4" s="130">
        <v>0.1126057713169885</v>
      </c>
      <c r="E4" s="130">
        <v>0.1409313725490196</v>
      </c>
    </row>
    <row r="5">
      <c r="A5" s="130" t="s">
        <v>17</v>
      </c>
      <c r="B5" s="130">
        <v>0.1502300150245504</v>
      </c>
      <c r="C5" s="130">
        <v>0.1580668244619365</v>
      </c>
      <c r="D5" s="130">
        <v>0.1858577368840131</v>
      </c>
      <c r="E5" s="130">
        <v>0.1765195816273748</v>
      </c>
    </row>
    <row r="6">
      <c r="A6" s="130" t="s">
        <v>28</v>
      </c>
      <c r="B6" s="130">
        <v>0.2227899846704139</v>
      </c>
      <c r="C6" s="130">
        <v>0.2423967317294598</v>
      </c>
      <c r="D6" s="130">
        <v>0.2541322314049587</v>
      </c>
      <c r="E6" s="130">
        <v>0.2296613468275594</v>
      </c>
    </row>
    <row r="7">
      <c r="A7" s="130" t="s">
        <v>27</v>
      </c>
      <c r="B7" s="130">
        <v>0.2161618868935942</v>
      </c>
      <c r="C7" s="130">
        <v>0.2324190253866355</v>
      </c>
      <c r="D7" s="130">
        <v>0.2198080511863503</v>
      </c>
      <c r="E7" s="130">
        <v>0.2268704746580853</v>
      </c>
    </row>
    <row r="8">
      <c r="A8" s="130" t="s">
        <v>11</v>
      </c>
      <c r="B8" s="130">
        <v>0.2455357142857143</v>
      </c>
      <c r="C8" s="130">
        <v>0.258630847178037</v>
      </c>
      <c r="D8" s="130">
        <v>0.2436344969199179</v>
      </c>
      <c r="E8" s="130">
        <v>0.2513403586614901</v>
      </c>
    </row>
    <row r="9">
      <c r="A9" s="130" t="s">
        <v>20</v>
      </c>
      <c r="B9" s="130">
        <v>0.2146542827657379</v>
      </c>
      <c r="C9" s="130">
        <v>0.1818049278320455</v>
      </c>
      <c r="D9" s="130">
        <v>0.3057971014492754</v>
      </c>
      <c r="E9" s="130">
        <v>0.1312780726827276</v>
      </c>
    </row>
    <row r="10">
      <c r="A10" s="130" t="s">
        <v>9</v>
      </c>
      <c r="B10" s="130">
        <v>0.1592081650964558</v>
      </c>
      <c r="C10" s="130">
        <v>0.1390855956228053</v>
      </c>
      <c r="D10" s="130">
        <v>0.1643951091265701</v>
      </c>
      <c r="E10" s="130">
        <v>0.1678314633624218</v>
      </c>
    </row>
    <row r="11">
      <c r="A11" s="130" t="s">
        <v>26</v>
      </c>
      <c r="B11" s="130">
        <v>0.1652123327515998</v>
      </c>
      <c r="C11" s="130">
        <v>0.2089227421109902</v>
      </c>
      <c r="D11" s="130">
        <v>0.2471264367816092</v>
      </c>
      <c r="E11" s="130">
        <v>0.226274655749907</v>
      </c>
    </row>
    <row r="12">
      <c r="A12" s="130" t="s">
        <v>21</v>
      </c>
      <c r="B12" s="130">
        <v>0.2679677819083023</v>
      </c>
      <c r="C12" s="130">
        <v>0.2613945578231293</v>
      </c>
      <c r="D12" s="130">
        <v>0.2346270563807698</v>
      </c>
      <c r="E12" s="130">
        <v>0.2594558725945587</v>
      </c>
    </row>
    <row r="13">
      <c r="A13" s="130" t="s">
        <v>13</v>
      </c>
      <c r="B13" s="130">
        <v>0.382051282051282</v>
      </c>
      <c r="C13" s="130">
        <v>0.3663876368319382</v>
      </c>
      <c r="D13" s="130">
        <v>0.2142269736842105</v>
      </c>
      <c r="E13" s="130">
        <v>0.2973258268824771</v>
      </c>
    </row>
    <row r="14">
      <c r="A14" s="130" t="s">
        <v>14</v>
      </c>
      <c r="B14" s="130">
        <v>0.1949755369721364</v>
      </c>
      <c r="C14" s="130">
        <v>0.1756346462005566</v>
      </c>
      <c r="D14" s="130">
        <v>0.1175013797885739</v>
      </c>
      <c r="E14" s="130">
        <v>0.2964436996695061</v>
      </c>
    </row>
    <row r="15">
      <c r="A15" s="130" t="s">
        <v>12</v>
      </c>
      <c r="B15" s="130">
        <v>0.1311338334368579</v>
      </c>
      <c r="C15" s="130">
        <v>0.1897862525332826</v>
      </c>
      <c r="D15" s="130">
        <v>0.182313265978272</v>
      </c>
      <c r="E15" s="130">
        <v>0.1762964400980368</v>
      </c>
    </row>
    <row r="16">
      <c r="A16" s="130" t="s">
        <v>19</v>
      </c>
      <c r="B16" s="130">
        <v>0.1466594629220873</v>
      </c>
      <c r="C16" s="130">
        <v>0.1285032967227764</v>
      </c>
      <c r="D16" s="130">
        <v>0.1258347542966811</v>
      </c>
      <c r="E16" s="130">
        <v>0.1368712031988551</v>
      </c>
    </row>
    <row r="17">
      <c r="A17" s="130" t="s">
        <v>23</v>
      </c>
      <c r="B17" s="130">
        <v>0.1297582356293336</v>
      </c>
      <c r="C17" s="130">
        <v>0.1648541123191468</v>
      </c>
      <c r="D17" s="130">
        <v>0.152744646026379</v>
      </c>
      <c r="E17" s="130">
        <v>0.1819458436088722</v>
      </c>
    </row>
    <row r="18">
      <c r="A18" s="130" t="s">
        <v>16</v>
      </c>
      <c r="B18" s="130">
        <v>0.1613264829518916</v>
      </c>
      <c r="C18" s="130">
        <v>0.1981256021721993</v>
      </c>
      <c r="D18" s="130">
        <v>0.1942072660304704</v>
      </c>
      <c r="E18" s="130">
        <v>0.1902577118313159</v>
      </c>
    </row>
    <row r="19">
      <c r="A19" s="130" t="s">
        <v>15</v>
      </c>
      <c r="B19" s="130">
        <v>0.1071046348892731</v>
      </c>
      <c r="C19" s="130">
        <v>0.05850975162527088</v>
      </c>
      <c r="D19" s="130">
        <v>0.07684261177012071</v>
      </c>
      <c r="E19" s="130">
        <v>0.1387577188521613</v>
      </c>
    </row>
    <row r="20">
      <c r="A20" s="130" t="s">
        <v>24</v>
      </c>
      <c r="B20" s="130">
        <v>0.1767323585505404</v>
      </c>
      <c r="C20" s="130">
        <v>0.2438403491226475</v>
      </c>
      <c r="D20" s="130">
        <v>0.229268624252311</v>
      </c>
      <c r="E20" s="130">
        <v>0.2303060009803235</v>
      </c>
    </row>
    <row r="21" ht="15.75" customHeight="1">
      <c r="A21" s="130" t="s">
        <v>18</v>
      </c>
      <c r="B21" s="130">
        <v>0.08251330271885705</v>
      </c>
      <c r="C21" s="130">
        <v>-0.5014539255991176</v>
      </c>
      <c r="D21" s="130">
        <v>0.2043381535038932</v>
      </c>
      <c r="E21" s="130">
        <v>0.2696097006441834</v>
      </c>
    </row>
    <row r="22" ht="15.75" customHeight="1">
      <c r="A22" s="130" t="s">
        <v>25</v>
      </c>
      <c r="B22" s="130">
        <v>0.215102542292789</v>
      </c>
      <c r="C22" s="130">
        <v>0.17356956938673</v>
      </c>
      <c r="D22" s="130">
        <v>3.15533199195171</v>
      </c>
      <c r="E22" s="130">
        <v>0.1486044107512061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86"/>
    <col customWidth="1" min="3" max="3" width="13.71"/>
    <col customWidth="1" min="4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1.00082877097974E11</v>
      </c>
      <c r="C2" s="130">
        <v>9.747683666561159E10</v>
      </c>
      <c r="D2" s="130">
        <v>9.353180528809167E10</v>
      </c>
      <c r="E2" s="130">
        <v>1.122808918925028E11</v>
      </c>
    </row>
    <row r="3">
      <c r="A3" s="130" t="s">
        <v>22</v>
      </c>
      <c r="B3" s="130">
        <v>1.403067567567568E9</v>
      </c>
      <c r="C3" s="130">
        <v>1.018544715447154E9</v>
      </c>
      <c r="D3" s="130">
        <v>1.682377073906486E9</v>
      </c>
      <c r="E3" s="130">
        <v>4.377259178743961E9</v>
      </c>
    </row>
    <row r="4">
      <c r="A4" s="130" t="s">
        <v>10</v>
      </c>
      <c r="B4" s="130">
        <v>7.806031037299211E9</v>
      </c>
      <c r="C4" s="130">
        <v>9.175481858688732E9</v>
      </c>
      <c r="D4" s="130">
        <v>6.889728791494902E9</v>
      </c>
      <c r="E4" s="130">
        <v>1.007773406862745E10</v>
      </c>
    </row>
    <row r="5">
      <c r="A5" s="130" t="s">
        <v>8</v>
      </c>
      <c r="B5" s="130">
        <v>-2.81951E9</v>
      </c>
      <c r="C5" s="130">
        <v>3.218381E10</v>
      </c>
      <c r="D5" s="130">
        <v>5.61058E10</v>
      </c>
      <c r="E5" s="130">
        <v>7.867215E10</v>
      </c>
    </row>
    <row r="6">
      <c r="A6" s="130" t="s">
        <v>17</v>
      </c>
      <c r="B6" s="130">
        <v>5.537866015086508E9</v>
      </c>
      <c r="C6" s="130">
        <v>7.776263195904662E9</v>
      </c>
      <c r="D6" s="130">
        <v>7.494179531982659E9</v>
      </c>
      <c r="E6" s="130">
        <v>9.490117733493483E9</v>
      </c>
    </row>
    <row r="7">
      <c r="A7" s="130" t="s">
        <v>28</v>
      </c>
      <c r="B7" s="130">
        <v>1.646908022483393E9</v>
      </c>
      <c r="C7" s="130">
        <v>1.791731729459827E9</v>
      </c>
      <c r="D7" s="130">
        <v>1.6245E9</v>
      </c>
      <c r="E7" s="130">
        <v>2.190072790969249E9</v>
      </c>
    </row>
    <row r="8">
      <c r="A8" s="130" t="s">
        <v>27</v>
      </c>
      <c r="B8" s="130">
        <v>9.420166443312786E9</v>
      </c>
      <c r="C8" s="130">
        <v>9.243210096294136E9</v>
      </c>
      <c r="D8" s="130">
        <v>9.932623700346575E9</v>
      </c>
      <c r="E8" s="130">
        <v>9.664119066773933E9</v>
      </c>
    </row>
    <row r="9">
      <c r="A9" s="130" t="s">
        <v>11</v>
      </c>
      <c r="B9" s="130">
        <v>6.034205357142857E9</v>
      </c>
      <c r="C9" s="130">
        <v>6.410619064451514E9</v>
      </c>
      <c r="D9" s="130">
        <v>7.494825770020534E9</v>
      </c>
      <c r="E9" s="130">
        <v>8.214293584766129E9</v>
      </c>
    </row>
    <row r="10">
      <c r="A10" s="130" t="s">
        <v>20</v>
      </c>
      <c r="B10" s="130">
        <v>5.300298245614036E9</v>
      </c>
      <c r="C10" s="130">
        <v>6.384376148126549E9</v>
      </c>
      <c r="D10" s="130">
        <v>1.157236231884058E9</v>
      </c>
      <c r="E10" s="130">
        <v>9.399571253572887E9</v>
      </c>
    </row>
    <row r="11">
      <c r="A11" s="130" t="s">
        <v>9</v>
      </c>
      <c r="B11" s="130">
        <v>6.027216268506056E10</v>
      </c>
      <c r="C11" s="130">
        <v>7.406016163654817E10</v>
      </c>
      <c r="D11" s="130">
        <v>1.003419421107541E11</v>
      </c>
      <c r="E11" s="130">
        <v>1.327824760429653E11</v>
      </c>
    </row>
    <row r="12">
      <c r="A12" s="130" t="s">
        <v>26</v>
      </c>
      <c r="B12" s="130">
        <v>2.013507853403141E9</v>
      </c>
      <c r="C12" s="130">
        <v>2.573374319912949E9</v>
      </c>
      <c r="D12" s="130">
        <v>1.994362068965517E9</v>
      </c>
      <c r="E12" s="130">
        <v>2.66238890956457E9</v>
      </c>
    </row>
    <row r="13">
      <c r="A13" s="130" t="s">
        <v>21</v>
      </c>
      <c r="B13" s="130">
        <v>2.676309789343246E9</v>
      </c>
      <c r="C13" s="130">
        <v>4.749232993197279E9</v>
      </c>
      <c r="D13" s="130">
        <v>5.180809455358569E9</v>
      </c>
      <c r="E13" s="130">
        <v>2.675585932315859E9</v>
      </c>
    </row>
    <row r="14">
      <c r="A14" s="130" t="s">
        <v>13</v>
      </c>
      <c r="B14" s="130">
        <v>5.65423076923077E8</v>
      </c>
      <c r="C14" s="130">
        <v>1.094248551191243E9</v>
      </c>
      <c r="D14" s="130">
        <v>2.040652549342105E9</v>
      </c>
      <c r="E14" s="130">
        <v>2.109427867698804E9</v>
      </c>
    </row>
    <row r="15">
      <c r="A15" s="130" t="s">
        <v>14</v>
      </c>
      <c r="B15" s="130">
        <v>2.334892952566016E10</v>
      </c>
      <c r="C15" s="130">
        <v>3.946566694779455E10</v>
      </c>
      <c r="D15" s="130">
        <v>6.299098651345117E10</v>
      </c>
      <c r="E15" s="130">
        <v>6.127764308988503E10</v>
      </c>
    </row>
    <row r="16">
      <c r="A16" s="130" t="s">
        <v>12</v>
      </c>
      <c r="B16" s="130">
        <v>7.453047090161977E10</v>
      </c>
      <c r="C16" s="130">
        <v>7.395550065501451E10</v>
      </c>
      <c r="D16" s="130">
        <v>9.053591056435376E10</v>
      </c>
      <c r="E16" s="130">
        <v>1.037965329903662E11</v>
      </c>
    </row>
    <row r="17">
      <c r="A17" s="130" t="s">
        <v>19</v>
      </c>
      <c r="B17" s="130">
        <v>5.094563327370867E9</v>
      </c>
      <c r="C17" s="130">
        <v>6.060390689079923E9</v>
      </c>
      <c r="D17" s="130">
        <v>9.339922409540083E9</v>
      </c>
      <c r="E17" s="130">
        <v>1.165142914200406E10</v>
      </c>
    </row>
    <row r="18">
      <c r="A18" s="130" t="s">
        <v>23</v>
      </c>
      <c r="B18" s="130">
        <v>3.173829933833857E10</v>
      </c>
      <c r="C18" s="130">
        <v>6.006798656216142E10</v>
      </c>
      <c r="D18" s="130">
        <v>1.12417287E11</v>
      </c>
      <c r="E18" s="130">
        <v>9.7713534E10</v>
      </c>
    </row>
    <row r="19">
      <c r="A19" s="130" t="s">
        <v>16</v>
      </c>
      <c r="B19" s="130">
        <v>9.765514432508173E9</v>
      </c>
      <c r="C19" s="130">
        <v>9.811735131820969E9</v>
      </c>
      <c r="D19" s="130">
        <v>1.0366523522518E10</v>
      </c>
      <c r="E19" s="130">
        <v>9.202721105037094E9</v>
      </c>
    </row>
    <row r="20">
      <c r="A20" s="130" t="s">
        <v>15</v>
      </c>
      <c r="B20" s="130">
        <v>4.391437984687577E9</v>
      </c>
      <c r="C20" s="130">
        <v>4.022328788131355E9</v>
      </c>
      <c r="D20" s="130">
        <v>4.463558287830289E9</v>
      </c>
      <c r="E20" s="130">
        <v>4.542622411914275E9</v>
      </c>
    </row>
    <row r="21" ht="15.75" customHeight="1">
      <c r="A21" s="130" t="s">
        <v>24</v>
      </c>
      <c r="B21" s="130">
        <v>5.359472345835982E9</v>
      </c>
      <c r="C21" s="130">
        <v>1.083879243567597E10</v>
      </c>
      <c r="D21" s="130">
        <v>1.396796472267537E10</v>
      </c>
      <c r="E21" s="130">
        <v>1.389682515230026E10</v>
      </c>
    </row>
    <row r="22" ht="15.75" customHeight="1">
      <c r="A22" s="130" t="s">
        <v>18</v>
      </c>
      <c r="B22" s="130">
        <v>1.27622399591807E10</v>
      </c>
      <c r="C22" s="130">
        <v>1.520822681239346E10</v>
      </c>
      <c r="D22" s="130">
        <v>7.431481646273637E9</v>
      </c>
      <c r="E22" s="130">
        <v>4.101871921182266E9</v>
      </c>
    </row>
    <row r="23" ht="15.75" customHeight="1">
      <c r="A23" s="130" t="s">
        <v>25</v>
      </c>
      <c r="B23" s="130">
        <v>3.365012380682355E9</v>
      </c>
      <c r="C23" s="130">
        <v>3.656045581990046E9</v>
      </c>
      <c r="D23" s="130">
        <v>-6.015531589537224E8</v>
      </c>
      <c r="E23" s="130">
        <v>3.964523561337008E9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1.70741E11</v>
      </c>
      <c r="C2" s="130">
        <v>1.73234E11</v>
      </c>
      <c r="D2" s="130">
        <v>1.63579E11</v>
      </c>
      <c r="E2" s="130">
        <v>1.7239E11</v>
      </c>
    </row>
    <row r="3">
      <c r="A3" s="130" t="s">
        <v>22</v>
      </c>
      <c r="B3" s="130">
        <v>5.7217E10</v>
      </c>
      <c r="C3" s="130">
        <v>5.836E10</v>
      </c>
      <c r="D3" s="130">
        <v>5.9289E10</v>
      </c>
      <c r="E3" s="130">
        <v>6.6221E10</v>
      </c>
    </row>
    <row r="4">
      <c r="A4" s="130" t="s">
        <v>10</v>
      </c>
      <c r="B4" s="130">
        <v>4.2606E10</v>
      </c>
      <c r="C4" s="130">
        <v>7.0845E10</v>
      </c>
      <c r="D4" s="130">
        <v>6.5976E10</v>
      </c>
      <c r="E4" s="130">
        <v>6.3262E10</v>
      </c>
    </row>
    <row r="5">
      <c r="A5" s="130" t="s">
        <v>8</v>
      </c>
      <c r="B5" s="130">
        <v>2.13193E11</v>
      </c>
      <c r="C5" s="130">
        <v>2.60189E11</v>
      </c>
      <c r="D5" s="130">
        <v>3.38593E11</v>
      </c>
      <c r="E5" s="130">
        <v>4.76713E11</v>
      </c>
    </row>
    <row r="6">
      <c r="A6" s="130" t="s">
        <v>17</v>
      </c>
      <c r="B6" s="130">
        <v>1.30712E10</v>
      </c>
      <c r="C6" s="130">
        <v>1.8084E10</v>
      </c>
      <c r="D6" s="130">
        <v>2.31644E10</v>
      </c>
      <c r="E6" s="130">
        <v>2.40031E10</v>
      </c>
    </row>
    <row r="7">
      <c r="A7" s="130" t="s">
        <v>28</v>
      </c>
      <c r="B7" s="130">
        <v>1.8678E10</v>
      </c>
      <c r="C7" s="130">
        <v>1.868E10</v>
      </c>
      <c r="D7" s="130">
        <v>1.9112E10</v>
      </c>
      <c r="E7" s="130">
        <v>1.783E10</v>
      </c>
    </row>
    <row r="8">
      <c r="A8" s="130" t="s">
        <v>27</v>
      </c>
      <c r="B8" s="130">
        <v>1.06722E11</v>
      </c>
      <c r="C8" s="130">
        <v>1.09288E11</v>
      </c>
      <c r="D8" s="130">
        <v>1.1135E11</v>
      </c>
      <c r="E8" s="130">
        <v>1.13175E11</v>
      </c>
    </row>
    <row r="9">
      <c r="A9" s="130" t="s">
        <v>11</v>
      </c>
      <c r="B9" s="130">
        <v>2.7199E10</v>
      </c>
      <c r="C9" s="130">
        <v>3.1516E10</v>
      </c>
      <c r="D9" s="130">
        <v>2.9416E10</v>
      </c>
      <c r="E9" s="130">
        <v>3.4877E10</v>
      </c>
    </row>
    <row r="10">
      <c r="A10" s="130" t="s">
        <v>20</v>
      </c>
      <c r="B10" s="130">
        <v>4.647E10</v>
      </c>
      <c r="C10" s="130">
        <v>4.782E10</v>
      </c>
      <c r="D10" s="130">
        <v>4.6041E10</v>
      </c>
      <c r="E10" s="130">
        <v>4.7638E10</v>
      </c>
    </row>
    <row r="11">
      <c r="A11" s="130" t="s">
        <v>9</v>
      </c>
      <c r="B11" s="130">
        <v>2.69001E11</v>
      </c>
      <c r="C11" s="130">
        <v>2.95249E11</v>
      </c>
      <c r="D11" s="130">
        <v>3.35967E11</v>
      </c>
      <c r="E11" s="130">
        <v>4.61812E11</v>
      </c>
    </row>
    <row r="12">
      <c r="A12" s="130" t="s">
        <v>26</v>
      </c>
      <c r="B12" s="130">
        <v>3.7093E10</v>
      </c>
      <c r="C12" s="130">
        <v>3.8867E10</v>
      </c>
      <c r="D12" s="130">
        <v>3.9797E10</v>
      </c>
      <c r="E12" s="130">
        <v>4.1657E10</v>
      </c>
    </row>
    <row r="13">
      <c r="A13" s="130" t="s">
        <v>21</v>
      </c>
      <c r="B13" s="130">
        <v>4.9816E10</v>
      </c>
      <c r="C13" s="130">
        <v>4.774E10</v>
      </c>
      <c r="D13" s="130">
        <v>4.4681E10</v>
      </c>
      <c r="E13" s="130">
        <v>4.7043E10</v>
      </c>
    </row>
    <row r="14">
      <c r="A14" s="130" t="s">
        <v>13</v>
      </c>
      <c r="B14" s="130">
        <v>6.534E9</v>
      </c>
      <c r="C14" s="130">
        <v>7.435E9</v>
      </c>
      <c r="D14" s="130">
        <v>9.944E9</v>
      </c>
      <c r="E14" s="130">
        <v>1.5811E10</v>
      </c>
    </row>
    <row r="15">
      <c r="A15" s="130" t="s">
        <v>14</v>
      </c>
      <c r="B15" s="130">
        <v>1.35636E11</v>
      </c>
      <c r="C15" s="130">
        <v>1.71553E11</v>
      </c>
      <c r="D15" s="130">
        <v>2.11463E11</v>
      </c>
      <c r="E15" s="130">
        <v>2.75987E11</v>
      </c>
    </row>
    <row r="16">
      <c r="A16" s="130" t="s">
        <v>12</v>
      </c>
      <c r="B16" s="130">
        <v>2.16323E11</v>
      </c>
      <c r="C16" s="130">
        <v>2.5346E11</v>
      </c>
      <c r="D16" s="130">
        <v>3.20107E11</v>
      </c>
      <c r="E16" s="130">
        <v>3.8663E11</v>
      </c>
    </row>
    <row r="17">
      <c r="A17" s="130" t="s">
        <v>19</v>
      </c>
      <c r="B17" s="130">
        <v>3.5130477E10</v>
      </c>
      <c r="C17" s="130">
        <v>3.5131574E10</v>
      </c>
      <c r="D17" s="130">
        <v>4.0326371E10</v>
      </c>
      <c r="E17" s="130">
        <v>4.1078324E10</v>
      </c>
    </row>
    <row r="18">
      <c r="A18" s="130" t="s">
        <v>23</v>
      </c>
      <c r="B18" s="130">
        <v>1.33232417E11</v>
      </c>
      <c r="C18" s="130">
        <v>1.931217E11</v>
      </c>
      <c r="D18" s="130">
        <v>3.18622721E11</v>
      </c>
      <c r="E18" s="130">
        <v>4.13385156E11</v>
      </c>
    </row>
    <row r="19">
      <c r="A19" s="130" t="s">
        <v>16</v>
      </c>
      <c r="B19" s="130">
        <v>5.622E10</v>
      </c>
      <c r="C19" s="130">
        <v>6.2608E10</v>
      </c>
      <c r="D19" s="130">
        <v>6.2347E10</v>
      </c>
      <c r="E19" s="130">
        <v>6.9588E10</v>
      </c>
    </row>
    <row r="20">
      <c r="A20" s="130" t="s">
        <v>15</v>
      </c>
      <c r="B20" s="130">
        <v>2.46454E10</v>
      </c>
      <c r="C20" s="130">
        <v>2.7956E10</v>
      </c>
      <c r="D20" s="130">
        <v>3.1338E10</v>
      </c>
      <c r="E20" s="130">
        <v>3.32428E10</v>
      </c>
    </row>
    <row r="21" ht="15.75" customHeight="1">
      <c r="A21" s="130" t="s">
        <v>24</v>
      </c>
      <c r="B21" s="130">
        <v>1.41616E11</v>
      </c>
      <c r="C21" s="130">
        <v>1.39733E11</v>
      </c>
      <c r="D21" s="130">
        <v>1.40006E11</v>
      </c>
      <c r="E21" s="130">
        <v>1.45485E11</v>
      </c>
    </row>
    <row r="22" ht="15.75" customHeight="1">
      <c r="A22" s="130" t="s">
        <v>18</v>
      </c>
      <c r="B22" s="130">
        <v>4.6749E10</v>
      </c>
      <c r="C22" s="130">
        <v>6.7291E10</v>
      </c>
      <c r="D22" s="130">
        <v>8.0791E10</v>
      </c>
      <c r="E22" s="130">
        <v>9.029E10</v>
      </c>
    </row>
    <row r="23" ht="15.75" customHeight="1">
      <c r="A23" s="130" t="s">
        <v>25</v>
      </c>
      <c r="B23" s="130">
        <v>1.39127E10</v>
      </c>
      <c r="C23" s="130">
        <v>1.75804E10</v>
      </c>
      <c r="D23" s="130">
        <v>1.64096E10</v>
      </c>
      <c r="E23" s="130">
        <v>1.86658E10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0.4330963056136009</v>
      </c>
      <c r="C2" s="130">
        <v>0.4413112957720756</v>
      </c>
      <c r="D2" s="130">
        <v>0.4620634981523393</v>
      </c>
      <c r="E2" s="130">
        <v>0.4690516410716045</v>
      </c>
    </row>
    <row r="3">
      <c r="A3" s="130" t="s">
        <v>22</v>
      </c>
      <c r="B3" s="130">
        <v>0.4492606245498072</v>
      </c>
      <c r="C3" s="130">
        <v>0.4611992945326279</v>
      </c>
      <c r="D3" s="130">
        <v>0.4935039751793678</v>
      </c>
      <c r="E3" s="130">
        <v>0.4951644100580271</v>
      </c>
    </row>
    <row r="4">
      <c r="A4" s="130" t="s">
        <v>10</v>
      </c>
      <c r="B4" s="130">
        <v>0.7566386810014056</v>
      </c>
      <c r="C4" s="130">
        <v>0.7002128414331323</v>
      </c>
      <c r="D4" s="130">
        <v>0.6153063666826233</v>
      </c>
      <c r="E4" s="130">
        <v>0.6724714973742211</v>
      </c>
    </row>
    <row r="5">
      <c r="A5" s="130" t="s">
        <v>8</v>
      </c>
      <c r="B5" s="130">
        <v>0.4380533986532629</v>
      </c>
      <c r="C5" s="130">
        <v>0.4698208895500057</v>
      </c>
      <c r="D5" s="130">
        <v>0.4885439346415679</v>
      </c>
      <c r="E5" s="130">
        <v>0.5028566486824266</v>
      </c>
    </row>
    <row r="6">
      <c r="A6" s="130" t="s">
        <v>17</v>
      </c>
      <c r="B6" s="130">
        <v>0.5053557765876052</v>
      </c>
      <c r="C6" s="130">
        <v>0.5129488179690477</v>
      </c>
      <c r="D6" s="130">
        <v>0.512757006535069</v>
      </c>
      <c r="E6" s="130">
        <v>0.5282958799778371</v>
      </c>
    </row>
    <row r="7">
      <c r="A7" s="130" t="s">
        <v>28</v>
      </c>
      <c r="B7" s="130">
        <v>0.3593533487297921</v>
      </c>
      <c r="C7" s="130">
        <v>0.367172986558846</v>
      </c>
      <c r="D7" s="130">
        <v>0.3528231725217731</v>
      </c>
      <c r="E7" s="130">
        <v>0.355963829481843</v>
      </c>
    </row>
    <row r="8">
      <c r="A8" s="130" t="s">
        <v>27</v>
      </c>
      <c r="B8" s="130">
        <v>0.5462774425234164</v>
      </c>
      <c r="C8" s="130">
        <v>0.5476770377424139</v>
      </c>
      <c r="D8" s="130">
        <v>0.5579740401198149</v>
      </c>
      <c r="E8" s="130">
        <v>0.5653777339613685</v>
      </c>
    </row>
    <row r="9">
      <c r="A9" s="130" t="s">
        <v>11</v>
      </c>
      <c r="B9" s="130">
        <v>0.1214871736122738</v>
      </c>
      <c r="C9" s="130">
        <v>0.1225968880267448</v>
      </c>
      <c r="D9" s="130">
        <v>0.1261333134213391</v>
      </c>
      <c r="E9" s="130">
        <v>0.1284320671426236</v>
      </c>
    </row>
    <row r="10">
      <c r="A10" s="130" t="s">
        <v>20</v>
      </c>
      <c r="B10" s="130">
        <v>0.7926395659983139</v>
      </c>
      <c r="C10" s="130">
        <v>0.7603628853813247</v>
      </c>
      <c r="D10" s="130">
        <v>0.7826041594212979</v>
      </c>
      <c r="E10" s="130">
        <v>0.7882616670063175</v>
      </c>
    </row>
    <row r="11">
      <c r="A11" s="130" t="s">
        <v>9</v>
      </c>
      <c r="B11" s="130">
        <v>0.5537944250378312</v>
      </c>
      <c r="C11" s="130">
        <v>0.566250479840205</v>
      </c>
      <c r="D11" s="130">
        <v>0.5820043540617911</v>
      </c>
      <c r="E11" s="130">
        <v>0.5965231508603998</v>
      </c>
    </row>
    <row r="12">
      <c r="A12" s="130" t="s">
        <v>26</v>
      </c>
      <c r="B12" s="130">
        <v>0.5209504161627658</v>
      </c>
      <c r="C12" s="130">
        <v>0.5454299986499257</v>
      </c>
      <c r="D12" s="130">
        <v>0.5555989837795583</v>
      </c>
      <c r="E12" s="130">
        <v>0.5420104800337289</v>
      </c>
    </row>
    <row r="13">
      <c r="A13" s="130" t="s">
        <v>21</v>
      </c>
      <c r="B13" s="130">
        <v>0.3591567183134367</v>
      </c>
      <c r="C13" s="130">
        <v>0.3821634828964904</v>
      </c>
      <c r="D13" s="130">
        <v>0.3912351472242803</v>
      </c>
      <c r="E13" s="130">
        <v>0.2837532760723461</v>
      </c>
    </row>
    <row r="14">
      <c r="A14" s="130" t="s">
        <v>13</v>
      </c>
      <c r="B14" s="130">
        <v>0.4821892393320965</v>
      </c>
      <c r="C14" s="130">
        <v>0.5024160984973853</v>
      </c>
      <c r="D14" s="130">
        <v>0.4609423882177408</v>
      </c>
      <c r="E14" s="130">
        <v>0.4450212854324577</v>
      </c>
    </row>
    <row r="15">
      <c r="A15" s="130" t="s">
        <v>14</v>
      </c>
      <c r="B15" s="130">
        <v>0.7834729737841848</v>
      </c>
      <c r="C15" s="130">
        <v>0.8075714222176098</v>
      </c>
      <c r="D15" s="130">
        <v>0.8166515705071702</v>
      </c>
      <c r="E15" s="130">
        <v>0.8199944269179861</v>
      </c>
    </row>
    <row r="16">
      <c r="A16" s="130" t="s">
        <v>12</v>
      </c>
      <c r="B16" s="130">
        <v>0.684016744842891</v>
      </c>
      <c r="C16" s="130">
        <v>0.6892008588349102</v>
      </c>
      <c r="D16" s="130">
        <v>0.6976444382797138</v>
      </c>
      <c r="E16" s="130">
        <v>0.6882374238616519</v>
      </c>
    </row>
    <row r="17">
      <c r="A17" s="130" t="s">
        <v>19</v>
      </c>
      <c r="B17" s="130">
        <v>0.3937070523840325</v>
      </c>
      <c r="C17" s="130">
        <v>0.4153783955346952</v>
      </c>
      <c r="D17" s="130">
        <v>0.4605655665041732</v>
      </c>
      <c r="E17" s="130">
        <v>0.4848657580247596</v>
      </c>
    </row>
    <row r="18">
      <c r="A18" s="130" t="s">
        <v>23</v>
      </c>
      <c r="B18" s="130">
        <v>0.7590159389355757</v>
      </c>
      <c r="C18" s="130">
        <v>0.6296080138037917</v>
      </c>
      <c r="D18" s="130">
        <v>0.6092273532763555</v>
      </c>
      <c r="E18" s="130">
        <v>0.5628027619206677</v>
      </c>
    </row>
    <row r="19">
      <c r="A19" s="130" t="s">
        <v>16</v>
      </c>
      <c r="B19" s="130">
        <v>0.5303268821187147</v>
      </c>
      <c r="C19" s="130">
        <v>0.5421390386023985</v>
      </c>
      <c r="D19" s="130">
        <v>0.5455396607659982</v>
      </c>
      <c r="E19" s="130">
        <v>0.541485227575193</v>
      </c>
    </row>
    <row r="20">
      <c r="A20" s="130" t="s">
        <v>15</v>
      </c>
      <c r="B20" s="130">
        <v>0.8718136187761338</v>
      </c>
      <c r="C20" s="130">
        <v>0.8615710669960053</v>
      </c>
      <c r="D20" s="130">
        <v>0.8612519363469934</v>
      </c>
      <c r="E20" s="130">
        <v>0.8535372902272205</v>
      </c>
    </row>
    <row r="21" ht="15.75" customHeight="1">
      <c r="A21" s="130" t="s">
        <v>24</v>
      </c>
      <c r="B21" s="130">
        <v>0.5449849819657916</v>
      </c>
      <c r="C21" s="130">
        <v>0.6157234145472136</v>
      </c>
      <c r="D21" s="130">
        <v>0.6357125307125308</v>
      </c>
      <c r="E21" s="130">
        <v>0.6288713494660794</v>
      </c>
    </row>
    <row r="22" ht="15.75" customHeight="1">
      <c r="A22" s="130" t="s">
        <v>18</v>
      </c>
      <c r="B22" s="130">
        <v>0.25598438535759</v>
      </c>
      <c r="C22" s="130">
        <v>0.1824889173633142</v>
      </c>
      <c r="D22" s="130">
        <v>0.178626266762207</v>
      </c>
      <c r="E22" s="130">
        <v>0.1802651143661615</v>
      </c>
    </row>
    <row r="23" ht="15.75" customHeight="1">
      <c r="A23" s="130" t="s">
        <v>25</v>
      </c>
      <c r="B23" s="130">
        <v>0.879035237999261</v>
      </c>
      <c r="C23" s="130">
        <v>0.8721071616747051</v>
      </c>
      <c r="D23" s="130">
        <v>0.8611174127276522</v>
      </c>
      <c r="E23" s="130">
        <v>0.8624065726212994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7.14"/>
    <col customWidth="1" min="3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0.3028874439552859</v>
      </c>
      <c r="C2" s="130">
        <v>0.2982141226502472</v>
      </c>
      <c r="D2" s="130">
        <v>0.3151022287007557</v>
      </c>
      <c r="E2" s="130">
        <v>0.3197079976259188</v>
      </c>
    </row>
    <row r="3">
      <c r="A3" s="130" t="s">
        <v>22</v>
      </c>
      <c r="B3" s="130">
        <v>0.05389602135502733</v>
      </c>
      <c r="C3" s="130">
        <v>0.0263668430335097</v>
      </c>
      <c r="D3" s="130">
        <v>0.08070583672677914</v>
      </c>
      <c r="E3" s="130">
        <v>0.1233003262218886</v>
      </c>
    </row>
    <row r="4">
      <c r="A4" s="130" t="s">
        <v>10</v>
      </c>
      <c r="B4" s="130">
        <v>0.3324848991376363</v>
      </c>
      <c r="C4" s="130">
        <v>0.3806314295849592</v>
      </c>
      <c r="D4" s="130">
        <v>0.2322881761608425</v>
      </c>
      <c r="E4" s="130">
        <v>0.3192021985796305</v>
      </c>
    </row>
    <row r="5">
      <c r="A5" s="130" t="s">
        <v>8</v>
      </c>
      <c r="B5" s="130">
        <v>-0.00694380942560357</v>
      </c>
      <c r="C5" s="130">
        <v>0.07087693659368285</v>
      </c>
      <c r="D5" s="130">
        <v>0.1113237684553396</v>
      </c>
      <c r="E5" s="130">
        <v>0.1389059370309824</v>
      </c>
    </row>
    <row r="6">
      <c r="A6" s="130" t="s">
        <v>17</v>
      </c>
      <c r="B6" s="130">
        <v>0.3077871291337244</v>
      </c>
      <c r="C6" s="130">
        <v>0.3351488651414264</v>
      </c>
      <c r="D6" s="130">
        <v>0.3256919848989311</v>
      </c>
      <c r="E6" s="130">
        <v>0.352780915472047</v>
      </c>
    </row>
    <row r="7">
      <c r="A7" s="130" t="s">
        <v>28</v>
      </c>
      <c r="B7" s="130">
        <v>0.1223441108545035</v>
      </c>
      <c r="C7" s="130">
        <v>0.1292208501803082</v>
      </c>
      <c r="D7" s="130">
        <v>0.1065662002152852</v>
      </c>
      <c r="E7" s="130">
        <v>0.1360221998947419</v>
      </c>
    </row>
    <row r="8">
      <c r="A8" s="130" t="s">
        <v>27</v>
      </c>
      <c r="B8" s="130">
        <v>0.2224649216985672</v>
      </c>
      <c r="C8" s="130">
        <v>0.2205211786034758</v>
      </c>
      <c r="D8" s="130">
        <v>0.2311155486974676</v>
      </c>
      <c r="E8" s="130">
        <v>0.2282104648190748</v>
      </c>
    </row>
    <row r="9">
      <c r="A9" s="130" t="s">
        <v>11</v>
      </c>
      <c r="B9" s="130">
        <v>0.035240621447518</v>
      </c>
      <c r="C9" s="130">
        <v>0.03568863758306162</v>
      </c>
      <c r="D9" s="130">
        <v>0.03894235870671597</v>
      </c>
      <c r="E9" s="130">
        <v>0.03986411611895289</v>
      </c>
    </row>
    <row r="10">
      <c r="A10" s="130" t="s">
        <v>20</v>
      </c>
      <c r="B10" s="130">
        <v>0.2473882922180272</v>
      </c>
      <c r="C10" s="130">
        <v>0.287763681958991</v>
      </c>
      <c r="D10" s="130">
        <v>0.05797454267232385</v>
      </c>
      <c r="E10" s="130">
        <v>0.3675022077304531</v>
      </c>
    </row>
    <row r="11">
      <c r="A11" s="130" t="s">
        <v>9</v>
      </c>
      <c r="B11" s="130">
        <v>0.2534507629863242</v>
      </c>
      <c r="C11" s="130">
        <v>0.2798525670637683</v>
      </c>
      <c r="D11" s="130">
        <v>0.3430766417727089</v>
      </c>
      <c r="E11" s="130">
        <v>0.3960966745772473</v>
      </c>
    </row>
    <row r="12">
      <c r="A12" s="130" t="s">
        <v>26</v>
      </c>
      <c r="B12" s="130">
        <v>0.1715871096250978</v>
      </c>
      <c r="C12" s="130">
        <v>0.2195895774267585</v>
      </c>
      <c r="D12" s="130">
        <v>0.172562048075044</v>
      </c>
      <c r="E12" s="130">
        <v>0.207251701499729</v>
      </c>
    </row>
    <row r="13">
      <c r="A13" s="130" t="s">
        <v>21</v>
      </c>
      <c r="B13" s="130">
        <v>0.1160782321564643</v>
      </c>
      <c r="C13" s="130">
        <v>0.1785317636605953</v>
      </c>
      <c r="D13" s="130">
        <v>0.1857523119563129</v>
      </c>
      <c r="E13" s="130">
        <v>0.09375405454498274</v>
      </c>
    </row>
    <row r="14">
      <c r="A14" s="130" t="s">
        <v>13</v>
      </c>
      <c r="B14" s="130">
        <v>0.08487940630797773</v>
      </c>
      <c r="C14" s="130">
        <v>0.1143178658899848</v>
      </c>
      <c r="D14" s="130">
        <v>0.1249939837320114</v>
      </c>
      <c r="E14" s="130">
        <v>0.1039005987609456</v>
      </c>
    </row>
    <row r="15">
      <c r="A15" s="130" t="s">
        <v>14</v>
      </c>
      <c r="B15" s="130">
        <v>0.248728657307755</v>
      </c>
      <c r="C15" s="130">
        <v>0.3548798386977213</v>
      </c>
      <c r="D15" s="130">
        <v>0.4339061768621467</v>
      </c>
      <c r="E15" s="130">
        <v>0.4333917180020501</v>
      </c>
    </row>
    <row r="16">
      <c r="A16" s="130" t="s">
        <v>12</v>
      </c>
      <c r="B16" s="130">
        <v>0.4326373127553336</v>
      </c>
      <c r="C16" s="130">
        <v>0.430734020715853</v>
      </c>
      <c r="D16" s="130">
        <v>0.4517016016514225</v>
      </c>
      <c r="E16" s="130">
        <v>0.447288835881927</v>
      </c>
    </row>
    <row r="17">
      <c r="A17" s="130" t="s">
        <v>19</v>
      </c>
      <c r="B17" s="130">
        <v>0.1888355888162629</v>
      </c>
      <c r="C17" s="130">
        <v>0.2062076848535895</v>
      </c>
      <c r="D17" s="130">
        <v>0.2739519323700854</v>
      </c>
      <c r="E17" s="130">
        <v>0.2987639431754874</v>
      </c>
    </row>
    <row r="18">
      <c r="A18" s="130" t="s">
        <v>23</v>
      </c>
      <c r="B18" s="130">
        <v>0.2793454542117808</v>
      </c>
      <c r="C18" s="130">
        <v>0.2904432761363452</v>
      </c>
      <c r="D18" s="130">
        <v>0.3369017441791274</v>
      </c>
      <c r="E18" s="130">
        <v>0.2765948263564214</v>
      </c>
    </row>
    <row r="19">
      <c r="A19" s="130" t="s">
        <v>16</v>
      </c>
      <c r="B19" s="130">
        <v>0.1347809982405778</v>
      </c>
      <c r="C19" s="130">
        <v>0.1337691727432738</v>
      </c>
      <c r="D19" s="130">
        <v>0.1400592244213643</v>
      </c>
      <c r="E19" s="130">
        <v>0.121000798509449</v>
      </c>
    </row>
    <row r="20">
      <c r="A20" s="130" t="s">
        <v>15</v>
      </c>
      <c r="B20" s="130">
        <v>0.4040286209531007</v>
      </c>
      <c r="C20" s="130">
        <v>0.3257021315524655</v>
      </c>
      <c r="D20" s="130">
        <v>0.3404520490071821</v>
      </c>
      <c r="E20" s="130">
        <v>0.367742925070941</v>
      </c>
    </row>
    <row r="21" ht="15.75" customHeight="1">
      <c r="A21" s="130" t="s">
        <v>24</v>
      </c>
      <c r="B21" s="130">
        <v>0.08181372610624474</v>
      </c>
      <c r="C21" s="130">
        <v>0.1824639120140533</v>
      </c>
      <c r="D21" s="130">
        <v>0.2226412776412776</v>
      </c>
      <c r="E21" s="130">
        <v>0.2044525473054842</v>
      </c>
    </row>
    <row r="22" ht="15.75" customHeight="1">
      <c r="A22" s="130" t="s">
        <v>18</v>
      </c>
      <c r="B22" s="130">
        <v>0.1707544622032359</v>
      </c>
      <c r="C22" s="130">
        <v>0.1046676242340322</v>
      </c>
      <c r="D22" s="130">
        <v>0.09560855768246494</v>
      </c>
      <c r="E22" s="130">
        <v>0.05922363883704009</v>
      </c>
    </row>
    <row r="23" ht="15.75" customHeight="1">
      <c r="A23" s="130" t="s">
        <v>25</v>
      </c>
      <c r="B23" s="130">
        <v>0.4800519556137817</v>
      </c>
      <c r="C23" s="130">
        <v>0.4482531512179305</v>
      </c>
      <c r="D23" s="130">
        <v>0.02532644894329452</v>
      </c>
      <c r="E23" s="130">
        <v>0.3879996333730513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0.2530964070519973</v>
      </c>
      <c r="C2" s="130">
        <v>0.2530623426432028</v>
      </c>
      <c r="D2" s="130">
        <v>0.2397125576994387</v>
      </c>
      <c r="E2" s="130">
        <v>0.2691506412181824</v>
      </c>
    </row>
    <row r="3">
      <c r="A3" s="130" t="s">
        <v>22</v>
      </c>
      <c r="B3" s="130">
        <v>0.05592983348163214</v>
      </c>
      <c r="C3" s="130">
        <v>0.03765432098765432</v>
      </c>
      <c r="D3" s="130">
        <v>0.06364165212332752</v>
      </c>
      <c r="E3" s="130">
        <v>0.1251479546176275</v>
      </c>
    </row>
    <row r="4">
      <c r="A4" s="130" t="s">
        <v>10</v>
      </c>
      <c r="B4" s="130">
        <v>0.2489077992630019</v>
      </c>
      <c r="C4" s="130">
        <v>0.2382759843916282</v>
      </c>
      <c r="D4" s="130">
        <v>0.1223671613212063</v>
      </c>
      <c r="E4" s="130">
        <v>0.2098174199341515</v>
      </c>
    </row>
    <row r="5">
      <c r="A5" s="130" t="s">
        <v>8</v>
      </c>
      <c r="B5" s="130">
        <v>-0.005295895000418302</v>
      </c>
      <c r="C5" s="130">
        <v>0.05293283575597832</v>
      </c>
      <c r="D5" s="130">
        <v>0.09287117197186653</v>
      </c>
      <c r="E5" s="130">
        <v>0.1083378433418326</v>
      </c>
    </row>
    <row r="6">
      <c r="A6" s="130" t="s">
        <v>17</v>
      </c>
      <c r="B6" s="130">
        <v>0.2656257379542256</v>
      </c>
      <c r="C6" s="130">
        <v>0.2844494439102274</v>
      </c>
      <c r="D6" s="130">
        <v>0.2678989063401137</v>
      </c>
      <c r="E6" s="130">
        <v>0.2941596030281046</v>
      </c>
    </row>
    <row r="7">
      <c r="A7" s="130" t="s">
        <v>28</v>
      </c>
      <c r="B7" s="130">
        <v>0.08706697459584295</v>
      </c>
      <c r="C7" s="130">
        <v>0.09119221942957054</v>
      </c>
      <c r="D7" s="130">
        <v>0.06938056561307368</v>
      </c>
      <c r="E7" s="130">
        <v>0.0929142146308789</v>
      </c>
    </row>
    <row r="8">
      <c r="A8" s="130" t="s">
        <v>27</v>
      </c>
      <c r="B8" s="130">
        <v>0.09357298878234793</v>
      </c>
      <c r="C8" s="130">
        <v>0.08345083963594412</v>
      </c>
      <c r="D8" s="130">
        <v>0.09227557411273486</v>
      </c>
      <c r="E8" s="130">
        <v>0.09104684704421806</v>
      </c>
    </row>
    <row r="9">
      <c r="A9" s="130" t="s">
        <v>11</v>
      </c>
      <c r="B9" s="130">
        <v>0.02574971139526071</v>
      </c>
      <c r="C9" s="130">
        <v>0.0259688802674481</v>
      </c>
      <c r="D9" s="130">
        <v>0.02895230160383254</v>
      </c>
      <c r="E9" s="130">
        <v>0.02942576343851618</v>
      </c>
    </row>
    <row r="10">
      <c r="A10" s="130" t="s">
        <v>20</v>
      </c>
      <c r="B10" s="130">
        <v>0.1683222755764085</v>
      </c>
      <c r="C10" s="130">
        <v>0.2089172444313321</v>
      </c>
      <c r="D10" s="130">
        <v>0.01669332962370453</v>
      </c>
      <c r="E10" s="130">
        <v>0.2890428639358739</v>
      </c>
    </row>
    <row r="11">
      <c r="A11" s="130" t="s">
        <v>9</v>
      </c>
      <c r="B11" s="130">
        <v>0.2120380715326196</v>
      </c>
      <c r="C11" s="130">
        <v>0.2400664944663852</v>
      </c>
      <c r="D11" s="130">
        <v>0.28603671811164</v>
      </c>
      <c r="E11" s="130">
        <v>0.3280987796522654</v>
      </c>
    </row>
    <row r="12">
      <c r="A12" s="130" t="s">
        <v>26</v>
      </c>
      <c r="B12" s="130">
        <v>0.1021555097104645</v>
      </c>
      <c r="C12" s="130">
        <v>0.1472255974078574</v>
      </c>
      <c r="D12" s="130">
        <v>0.09387010618200768</v>
      </c>
      <c r="E12" s="130">
        <v>0.1252183340360176</v>
      </c>
    </row>
    <row r="13">
      <c r="A13" s="130" t="s">
        <v>21</v>
      </c>
      <c r="B13" s="130">
        <v>0.08626492252984506</v>
      </c>
      <c r="C13" s="130">
        <v>0.1376888049755664</v>
      </c>
      <c r="D13" s="130">
        <v>0.1265333004033918</v>
      </c>
      <c r="E13" s="130">
        <v>0.06360121441731323</v>
      </c>
    </row>
    <row r="14">
      <c r="A14" s="130" t="s">
        <v>13</v>
      </c>
      <c r="B14" s="130">
        <v>0.04471243042671614</v>
      </c>
      <c r="C14" s="130">
        <v>0.06533395114847422</v>
      </c>
      <c r="D14" s="130">
        <v>0.09197670501034798</v>
      </c>
      <c r="E14" s="130">
        <v>0.06911708718374693</v>
      </c>
    </row>
    <row r="15">
      <c r="A15" s="130" t="s">
        <v>14</v>
      </c>
      <c r="B15" s="130">
        <v>0.1989554837105198</v>
      </c>
      <c r="C15" s="130">
        <v>0.2898252064461609</v>
      </c>
      <c r="D15" s="130">
        <v>0.3790858414234564</v>
      </c>
      <c r="E15" s="130">
        <v>0.3008369574952977</v>
      </c>
    </row>
    <row r="16">
      <c r="A16" s="130" t="s">
        <v>12</v>
      </c>
      <c r="B16" s="130">
        <v>0.3668633681343622</v>
      </c>
      <c r="C16" s="130">
        <v>0.3414623787839464</v>
      </c>
      <c r="D16" s="130">
        <v>0.3595597294408499</v>
      </c>
      <c r="E16" s="130">
        <v>0.3614601524896707</v>
      </c>
    </row>
    <row r="17">
      <c r="A17" s="130" t="s">
        <v>19</v>
      </c>
      <c r="B17" s="130">
        <v>0.1420795779292152</v>
      </c>
      <c r="C17" s="130">
        <v>0.1603636204372307</v>
      </c>
      <c r="D17" s="130">
        <v>0.2233696211524607</v>
      </c>
      <c r="E17" s="130">
        <v>0.2430381393583202</v>
      </c>
    </row>
    <row r="18">
      <c r="A18" s="130" t="s">
        <v>23</v>
      </c>
      <c r="B18" s="130">
        <v>0.2415643720258958</v>
      </c>
      <c r="C18" s="130">
        <v>0.24239515709962</v>
      </c>
      <c r="D18" s="130">
        <v>0.2854855429871884</v>
      </c>
      <c r="E18" s="130">
        <v>0.2265682767122896</v>
      </c>
    </row>
    <row r="19">
      <c r="A19" s="130" t="s">
        <v>16</v>
      </c>
      <c r="B19" s="130">
        <v>0.1031345494953236</v>
      </c>
      <c r="C19" s="130">
        <v>0.09920083961036831</v>
      </c>
      <c r="D19" s="130">
        <v>0.104274174233022</v>
      </c>
      <c r="E19" s="130">
        <v>0.08772957146659568</v>
      </c>
    </row>
    <row r="20">
      <c r="A20" s="130" t="s">
        <v>15</v>
      </c>
      <c r="B20" s="130">
        <v>0.3563982288526152</v>
      </c>
      <c r="C20" s="130">
        <v>0.3014057878205715</v>
      </c>
      <c r="D20" s="130">
        <v>0.3107027179270525</v>
      </c>
      <c r="E20" s="130">
        <v>0.314085714883322</v>
      </c>
    </row>
    <row r="21" ht="15.75" customHeight="1">
      <c r="A21" s="130" t="s">
        <v>24</v>
      </c>
      <c r="B21" s="130">
        <v>0.03254954694549522</v>
      </c>
      <c r="C21" s="130">
        <v>0.1058708215585936</v>
      </c>
      <c r="D21" s="130">
        <v>0.1392997542997543</v>
      </c>
      <c r="E21" s="130">
        <v>0.1244720243689771</v>
      </c>
    </row>
    <row r="22" ht="15.75" customHeight="1">
      <c r="A22" s="130" t="s">
        <v>18</v>
      </c>
      <c r="B22" s="130">
        <v>0.154464658368319</v>
      </c>
      <c r="C22" s="130">
        <v>0.1549915782294648</v>
      </c>
      <c r="D22" s="130">
        <v>0.07298597604667827</v>
      </c>
      <c r="E22" s="130">
        <v>0.04000970187815706</v>
      </c>
    </row>
    <row r="23" ht="15.75" customHeight="1">
      <c r="A23" s="130" t="s">
        <v>25</v>
      </c>
      <c r="B23" s="130">
        <v>0.3719753210834537</v>
      </c>
      <c r="C23" s="130">
        <v>0.3667571839662789</v>
      </c>
      <c r="D23" s="130">
        <v>-0.04860209979945736</v>
      </c>
      <c r="E23" s="130">
        <v>0.3293976485880696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0"/>
    <col customWidth="1" min="3" max="3" width="15.43"/>
    <col customWidth="1" min="4" max="4" width="16.0"/>
    <col customWidth="1" min="5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1.969588727502368</v>
      </c>
      <c r="C2" s="130">
        <v>1.719495116027584</v>
      </c>
      <c r="D2" s="130">
        <v>1.574125075569289</v>
      </c>
      <c r="E2" s="130">
        <v>1.714224497448023</v>
      </c>
    </row>
    <row r="3">
      <c r="A3" s="130" t="s">
        <v>22</v>
      </c>
      <c r="B3" s="130">
        <v>0.02410958904109589</v>
      </c>
      <c r="C3" s="130">
        <v>0.01543717575604201</v>
      </c>
      <c r="D3" s="130">
        <v>0.02892649391856161</v>
      </c>
      <c r="E3" s="130">
        <v>0.07191022419069895</v>
      </c>
    </row>
    <row r="4">
      <c r="A4" s="130" t="s">
        <v>10</v>
      </c>
      <c r="B4" s="130">
        <v>1.789674952198853</v>
      </c>
      <c r="C4" s="130">
        <v>1.357929849388456</v>
      </c>
      <c r="D4" s="130">
        <v>0.6755305970765546</v>
      </c>
      <c r="E4" s="130">
        <v>1.061025111799106</v>
      </c>
    </row>
    <row r="5">
      <c r="A5" s="130" t="s">
        <v>8</v>
      </c>
      <c r="B5" s="130">
        <v>-0.01863834624049081</v>
      </c>
      <c r="C5" s="130">
        <v>0.1748975333268184</v>
      </c>
      <c r="D5" s="130">
        <v>0.2428968217364122</v>
      </c>
      <c r="E5" s="130">
        <v>0.2228582495857453</v>
      </c>
    </row>
    <row r="6">
      <c r="A6" s="130" t="s">
        <v>17</v>
      </c>
      <c r="B6" s="130">
        <v>0.6383302310800382</v>
      </c>
      <c r="C6" s="130">
        <v>0.704211434115491</v>
      </c>
      <c r="D6" s="130">
        <v>0.4742743319594603</v>
      </c>
      <c r="E6" s="130">
        <v>0.5045761243403607</v>
      </c>
    </row>
    <row r="7">
      <c r="A7" s="130" t="s">
        <v>28</v>
      </c>
      <c r="B7" s="130">
        <v>0.202497650060427</v>
      </c>
      <c r="C7" s="130">
        <v>0.2164300071322051</v>
      </c>
      <c r="D7" s="130">
        <v>0.1722441542666262</v>
      </c>
      <c r="E7" s="130">
        <v>0.2379318794413134</v>
      </c>
    </row>
    <row r="8">
      <c r="A8" s="130" t="s">
        <v>27</v>
      </c>
      <c r="B8" s="130">
        <v>0.5543370983660489</v>
      </c>
      <c r="C8" s="130">
        <v>0.4510764662212324</v>
      </c>
      <c r="D8" s="130">
        <v>0.3811344805608668</v>
      </c>
      <c r="E8" s="130">
        <v>0.3152239183338074</v>
      </c>
    </row>
    <row r="9">
      <c r="A9" s="130" t="s">
        <v>11</v>
      </c>
      <c r="B9" s="130">
        <v>0.2831121015405484</v>
      </c>
      <c r="C9" s="130">
        <v>0.2753610503282276</v>
      </c>
      <c r="D9" s="130">
        <v>0.302670501232539</v>
      </c>
      <c r="E9" s="130">
        <v>0.3068616678664797</v>
      </c>
    </row>
    <row r="10">
      <c r="A10" s="130" t="s">
        <v>20</v>
      </c>
      <c r="B10" s="130">
        <v>0.216195856873823</v>
      </c>
      <c r="C10" s="130">
        <v>0.2570734917069408</v>
      </c>
      <c r="D10" s="130">
        <v>0.02276877831273866</v>
      </c>
      <c r="E10" s="130">
        <v>0.4049295774647887</v>
      </c>
    </row>
    <row r="11">
      <c r="A11" s="130" t="s">
        <v>9</v>
      </c>
      <c r="B11" s="130">
        <v>0.2341339246673746</v>
      </c>
      <c r="C11" s="130">
        <v>0.2735564563512584</v>
      </c>
      <c r="D11" s="130">
        <v>0.3290849238162386</v>
      </c>
      <c r="E11" s="130">
        <v>0.3570478247421149</v>
      </c>
    </row>
    <row r="12">
      <c r="A12" s="130" t="s">
        <v>26</v>
      </c>
      <c r="B12" s="130">
        <v>0.05715195415107856</v>
      </c>
      <c r="C12" s="130">
        <v>0.0858627613086099</v>
      </c>
      <c r="D12" s="130">
        <v>0.05773352831587171</v>
      </c>
      <c r="E12" s="130">
        <v>0.08356277256375731</v>
      </c>
    </row>
    <row r="13">
      <c r="A13" s="130" t="s">
        <v>21</v>
      </c>
      <c r="B13" s="130">
        <v>0.1010675891827549</v>
      </c>
      <c r="C13" s="130">
        <v>0.1796251018744906</v>
      </c>
      <c r="D13" s="130">
        <v>0.1668717429067748</v>
      </c>
      <c r="E13" s="130">
        <v>0.09289368959636157</v>
      </c>
    </row>
    <row r="14">
      <c r="A14" s="130" t="s">
        <v>13</v>
      </c>
      <c r="B14" s="130">
        <v>0.2638204707170224</v>
      </c>
      <c r="C14" s="130">
        <v>0.403021641486321</v>
      </c>
      <c r="D14" s="130">
        <v>0.5149555375909458</v>
      </c>
      <c r="E14" s="130">
        <v>0.3598522389404451</v>
      </c>
    </row>
    <row r="15">
      <c r="A15" s="130" t="s">
        <v>14</v>
      </c>
      <c r="B15" s="130">
        <v>0.1845473419614519</v>
      </c>
      <c r="C15" s="130">
        <v>0.2803919951520541</v>
      </c>
      <c r="D15" s="130">
        <v>0.371406024329596</v>
      </c>
      <c r="E15" s="130">
        <v>0.3023807142142643</v>
      </c>
    </row>
    <row r="16">
      <c r="A16" s="130" t="s">
        <v>12</v>
      </c>
      <c r="B16" s="130">
        <v>0.4367546925099975</v>
      </c>
      <c r="C16" s="130">
        <v>0.3882392391989591</v>
      </c>
      <c r="D16" s="130">
        <v>0.3713334737729092</v>
      </c>
      <c r="E16" s="130">
        <v>0.3328082411153743</v>
      </c>
    </row>
    <row r="17">
      <c r="A17" s="130" t="s">
        <v>19</v>
      </c>
      <c r="B17" s="130">
        <v>0.2161927759877186</v>
      </c>
      <c r="C17" s="130">
        <v>0.26147209739931</v>
      </c>
      <c r="D17" s="130">
        <v>0.3843489835409429</v>
      </c>
      <c r="E17" s="130">
        <v>0.4276247294659141</v>
      </c>
    </row>
    <row r="18">
      <c r="A18" s="130" t="s">
        <v>23</v>
      </c>
      <c r="B18" s="130">
        <v>0.2677916111220368</v>
      </c>
      <c r="C18" s="130">
        <v>0.3936005275691669</v>
      </c>
      <c r="D18" s="130">
        <v>0.4492396336975187</v>
      </c>
      <c r="E18" s="130">
        <v>0.2692796768419488</v>
      </c>
    </row>
    <row r="19">
      <c r="A19" s="130" t="s">
        <v>16</v>
      </c>
      <c r="B19" s="130">
        <v>0.5195638229634381</v>
      </c>
      <c r="C19" s="130">
        <v>0.5090317513743969</v>
      </c>
      <c r="D19" s="130">
        <v>0.5241900175131349</v>
      </c>
      <c r="E19" s="130">
        <v>0.4286420266860874</v>
      </c>
    </row>
    <row r="20">
      <c r="A20" s="130" t="s">
        <v>15</v>
      </c>
      <c r="B20" s="130">
        <v>0.1914225202965055</v>
      </c>
      <c r="C20" s="130">
        <v>0.1625754825020406</v>
      </c>
      <c r="D20" s="130">
        <v>0.1595106883295046</v>
      </c>
      <c r="E20" s="130">
        <v>0.1486508113280702</v>
      </c>
    </row>
    <row r="21" ht="15.75" customHeight="1">
      <c r="A21" s="130" t="s">
        <v>24</v>
      </c>
      <c r="B21" s="130">
        <v>0.03718272654186287</v>
      </c>
      <c r="C21" s="130">
        <v>0.1237915919357599</v>
      </c>
      <c r="D21" s="130">
        <v>0.1793351047004492</v>
      </c>
      <c r="E21" s="130">
        <v>0.1817700754067998</v>
      </c>
    </row>
    <row r="22" ht="15.75" customHeight="1">
      <c r="A22" s="130" t="s">
        <v>18</v>
      </c>
      <c r="B22" s="130">
        <v>0.2814736936292054</v>
      </c>
      <c r="C22" s="130">
        <v>0.2794723210792077</v>
      </c>
      <c r="D22" s="130">
        <v>0.1052033611957476</v>
      </c>
      <c r="E22" s="130">
        <v>0.04893905191873589</v>
      </c>
    </row>
    <row r="23" ht="15.75" customHeight="1">
      <c r="A23" s="130" t="s">
        <v>25</v>
      </c>
      <c r="B23" s="130">
        <v>0.2387746447490423</v>
      </c>
      <c r="C23" s="130">
        <v>0.2298662246650854</v>
      </c>
      <c r="D23" s="130">
        <v>-0.03151515151515152</v>
      </c>
      <c r="E23" s="130">
        <v>0.2254115419923935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7.14"/>
    <col customWidth="1" min="3" max="3" width="15.43"/>
    <col customWidth="1" min="4" max="4" width="16.57"/>
    <col customWidth="1" min="5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0.2829244092925685</v>
      </c>
      <c r="C2" s="130">
        <v>0.27503126160791</v>
      </c>
      <c r="D2" s="130">
        <v>0.2612620773367635</v>
      </c>
      <c r="E2" s="130">
        <v>0.3093254683307996</v>
      </c>
    </row>
    <row r="3">
      <c r="A3" s="130" t="s">
        <v>22</v>
      </c>
      <c r="B3" s="130">
        <v>0.01953240603728914</v>
      </c>
      <c r="C3" s="130">
        <v>0.01260842283984793</v>
      </c>
      <c r="D3" s="130">
        <v>0.02393681032156428</v>
      </c>
      <c r="E3" s="130">
        <v>0.0593218019596037</v>
      </c>
    </row>
    <row r="4">
      <c r="A4" s="130" t="s">
        <v>10</v>
      </c>
      <c r="B4" s="130">
        <v>0.1006127055788455</v>
      </c>
      <c r="C4" s="130">
        <v>0.08278539516253274</v>
      </c>
      <c r="D4" s="130">
        <v>0.04328202631843507</v>
      </c>
      <c r="E4" s="130">
        <v>0.08453885158284226</v>
      </c>
    </row>
    <row r="5">
      <c r="A5" s="130" t="s">
        <v>8</v>
      </c>
      <c r="B5" s="130">
        <v>-0.005883179337547955</v>
      </c>
      <c r="C5" s="130">
        <v>0.06143182077455582</v>
      </c>
      <c r="D5" s="130">
        <v>0.1027943661580848</v>
      </c>
      <c r="E5" s="130">
        <v>0.1076555023923445</v>
      </c>
    </row>
    <row r="6">
      <c r="A6" s="130" t="s">
        <v>17</v>
      </c>
      <c r="B6" s="130">
        <v>0.154934931846481</v>
      </c>
      <c r="C6" s="130">
        <v>0.2055918140940152</v>
      </c>
      <c r="D6" s="130">
        <v>0.1710185878475975</v>
      </c>
      <c r="E6" s="130">
        <v>0.1938234825457208</v>
      </c>
    </row>
    <row r="7">
      <c r="A7" s="130" t="s">
        <v>28</v>
      </c>
      <c r="B7" s="130">
        <v>0.05144475147545458</v>
      </c>
      <c r="C7" s="130">
        <v>0.0569945532467089</v>
      </c>
      <c r="D7" s="130">
        <v>0.04698942903535806</v>
      </c>
      <c r="E7" s="130">
        <v>0.06370137112117037</v>
      </c>
    </row>
    <row r="8">
      <c r="A8" s="130" t="s">
        <v>27</v>
      </c>
      <c r="B8" s="130">
        <v>0.03497713166762384</v>
      </c>
      <c r="C8" s="130">
        <v>0.03124271551783241</v>
      </c>
      <c r="D8" s="130">
        <v>0.03420442578218315</v>
      </c>
      <c r="E8" s="130">
        <v>0.03278408325198121</v>
      </c>
    </row>
    <row r="9">
      <c r="A9" s="130" t="s">
        <v>11</v>
      </c>
      <c r="B9" s="130">
        <v>0.0910762709222953</v>
      </c>
      <c r="C9" s="130">
        <v>0.09450285370982277</v>
      </c>
      <c r="D9" s="130">
        <v>0.1061336214658743</v>
      </c>
      <c r="E9" s="130">
        <v>0.1102429728442115</v>
      </c>
    </row>
    <row r="10">
      <c r="A10" s="130" t="s">
        <v>20</v>
      </c>
      <c r="B10" s="130">
        <v>0.07269158316316031</v>
      </c>
      <c r="C10" s="130">
        <v>0.09042587153620227</v>
      </c>
      <c r="D10" s="130">
        <v>0.007926023778071334</v>
      </c>
      <c r="E10" s="130">
        <v>0.1442152891931739</v>
      </c>
    </row>
    <row r="11">
      <c r="A11" s="130" t="s">
        <v>9</v>
      </c>
      <c r="B11" s="130">
        <v>0.1641880940908494</v>
      </c>
      <c r="C11" s="130">
        <v>0.1922605958919099</v>
      </c>
      <c r="D11" s="130">
        <v>0.2348401685103349</v>
      </c>
      <c r="E11" s="130">
        <v>0.252827016164899</v>
      </c>
    </row>
    <row r="12">
      <c r="A12" s="130" t="s">
        <v>26</v>
      </c>
      <c r="B12" s="130">
        <v>0.0277022204217065</v>
      </c>
      <c r="C12" s="130">
        <v>0.04195562053343849</v>
      </c>
      <c r="D12" s="130">
        <v>0.02730200833649109</v>
      </c>
      <c r="E12" s="130">
        <v>0.03818567532073947</v>
      </c>
    </row>
    <row r="13">
      <c r="A13" s="130" t="s">
        <v>21</v>
      </c>
      <c r="B13" s="130">
        <v>0.03818102612385998</v>
      </c>
      <c r="C13" s="130">
        <v>0.06957461136988607</v>
      </c>
      <c r="D13" s="130">
        <v>0.06592416790575317</v>
      </c>
      <c r="E13" s="130">
        <v>0.03501828780432049</v>
      </c>
    </row>
    <row r="14">
      <c r="A14" s="130" t="s">
        <v>13</v>
      </c>
      <c r="B14" s="130">
        <v>0.03509027373325568</v>
      </c>
      <c r="C14" s="130">
        <v>0.06297052443537068</v>
      </c>
      <c r="D14" s="130">
        <v>0.08928237712577089</v>
      </c>
      <c r="E14" s="130">
        <v>0.05885386735039713</v>
      </c>
    </row>
    <row r="15">
      <c r="A15" s="130" t="s">
        <v>14</v>
      </c>
      <c r="B15" s="130">
        <v>0.1249145250825136</v>
      </c>
      <c r="C15" s="130">
        <v>0.1882653184061635</v>
      </c>
      <c r="D15" s="130">
        <v>0.2466396533755737</v>
      </c>
      <c r="E15" s="130">
        <v>0.1883206790483978</v>
      </c>
    </row>
    <row r="16">
      <c r="A16" s="130" t="s">
        <v>12</v>
      </c>
      <c r="B16" s="130">
        <v>0.1993695866681285</v>
      </c>
      <c r="C16" s="130">
        <v>0.1863015179913905</v>
      </c>
      <c r="D16" s="130">
        <v>0.1907418689179874</v>
      </c>
      <c r="E16" s="130">
        <v>0.1800478444366256</v>
      </c>
    </row>
    <row r="17">
      <c r="A17" s="130" t="s">
        <v>19</v>
      </c>
      <c r="B17" s="130">
        <v>0.09243637092783322</v>
      </c>
      <c r="C17" s="130">
        <v>0.1111305873122664</v>
      </c>
      <c r="D17" s="130">
        <v>0.1702115990558483</v>
      </c>
      <c r="E17" s="130">
        <v>0.2010705064418517</v>
      </c>
    </row>
    <row r="18">
      <c r="A18" s="130" t="s">
        <v>23</v>
      </c>
      <c r="B18" s="130">
        <v>0.1330046737990033</v>
      </c>
      <c r="C18" s="130">
        <v>0.2051494930332759</v>
      </c>
      <c r="D18" s="130">
        <v>0.2635866206034301</v>
      </c>
      <c r="E18" s="130">
        <v>0.1723978150824921</v>
      </c>
    </row>
    <row r="19">
      <c r="A19" s="130" t="s">
        <v>16</v>
      </c>
      <c r="B19" s="130">
        <v>0.09665137166845651</v>
      </c>
      <c r="C19" s="130">
        <v>0.0941862758327192</v>
      </c>
      <c r="D19" s="130">
        <v>0.09579820165831508</v>
      </c>
      <c r="E19" s="130">
        <v>0.07966509721268841</v>
      </c>
    </row>
    <row r="20">
      <c r="A20" s="130" t="s">
        <v>15</v>
      </c>
      <c r="B20" s="130">
        <v>0.1485016002327611</v>
      </c>
      <c r="C20" s="130">
        <v>0.1269321467155312</v>
      </c>
      <c r="D20" s="130">
        <v>0.12458003715436</v>
      </c>
      <c r="E20" s="130">
        <v>0.1150410952257524</v>
      </c>
    </row>
    <row r="21" ht="15.75" customHeight="1">
      <c r="A21" s="130" t="s">
        <v>24</v>
      </c>
      <c r="B21" s="130">
        <v>0.01225524988407196</v>
      </c>
      <c r="C21" s="130">
        <v>0.03969738914610281</v>
      </c>
      <c r="D21" s="130">
        <v>0.05455153385596451</v>
      </c>
      <c r="E21" s="130">
        <v>0.05145200247149357</v>
      </c>
    </row>
    <row r="22" ht="15.75" customHeight="1">
      <c r="A22" s="130" t="s">
        <v>18</v>
      </c>
      <c r="B22" s="130">
        <v>0.1528212975782749</v>
      </c>
      <c r="C22" s="130">
        <v>0.1587565359131226</v>
      </c>
      <c r="D22" s="130">
        <v>0.0623556985937172</v>
      </c>
      <c r="E22" s="130">
        <v>0.02919854084255568</v>
      </c>
    </row>
    <row r="23" ht="15.75" customHeight="1">
      <c r="A23" s="130" t="s">
        <v>25</v>
      </c>
      <c r="B23" s="130">
        <v>0.1830212275975296</v>
      </c>
      <c r="C23" s="130">
        <v>0.1770793838717647</v>
      </c>
      <c r="D23" s="130">
        <v>-0.02366591992647481</v>
      </c>
      <c r="E23" s="130">
        <v>0.1641142306782187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3" width="15.43"/>
    <col customWidth="1" min="4" max="4" width="16.0"/>
    <col customWidth="1" min="5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0.5861678044404918</v>
      </c>
      <c r="C2" s="130">
        <v>0.5626888293615087</v>
      </c>
      <c r="D2" s="130">
        <v>0.5717836964897186</v>
      </c>
      <c r="E2" s="130">
        <v>0.6513190550061069</v>
      </c>
    </row>
    <row r="3">
      <c r="A3" s="130" t="s">
        <v>22</v>
      </c>
      <c r="B3" s="130">
        <v>0.02452186531218987</v>
      </c>
      <c r="C3" s="130">
        <v>0.01745278813309038</v>
      </c>
      <c r="D3" s="130">
        <v>0.02837587198142127</v>
      </c>
      <c r="E3" s="130">
        <v>0.06610077133755095</v>
      </c>
    </row>
    <row r="4">
      <c r="A4" s="130" t="s">
        <v>10</v>
      </c>
      <c r="B4" s="130">
        <v>0.1832143603553305</v>
      </c>
      <c r="C4" s="130">
        <v>0.1295148826125871</v>
      </c>
      <c r="D4" s="130">
        <v>0.1044278039210456</v>
      </c>
      <c r="E4" s="130">
        <v>0.1593015407136583</v>
      </c>
    </row>
    <row r="5">
      <c r="A5" s="130" t="s">
        <v>8</v>
      </c>
      <c r="B5" s="130">
        <v>-0.0132251527958235</v>
      </c>
      <c r="C5" s="130">
        <v>0.1236939686151221</v>
      </c>
      <c r="D5" s="130">
        <v>0.1657027758990883</v>
      </c>
      <c r="E5" s="130">
        <v>0.1650304271123297</v>
      </c>
    </row>
    <row r="6">
      <c r="A6" s="130" t="s">
        <v>17</v>
      </c>
      <c r="B6" s="130">
        <v>0.4236692893603118</v>
      </c>
      <c r="C6" s="130">
        <v>0.4300079183756172</v>
      </c>
      <c r="D6" s="130">
        <v>0.3235214178645965</v>
      </c>
      <c r="E6" s="130">
        <v>0.3953705035388547</v>
      </c>
    </row>
    <row r="7">
      <c r="A7" s="130" t="s">
        <v>28</v>
      </c>
      <c r="B7" s="130">
        <v>0.0881736814692897</v>
      </c>
      <c r="C7" s="130">
        <v>0.0959171161381064</v>
      </c>
      <c r="D7" s="130">
        <v>0.08499895353704479</v>
      </c>
      <c r="E7" s="130">
        <v>0.1228307790784772</v>
      </c>
    </row>
    <row r="8">
      <c r="A8" s="130" t="s">
        <v>27</v>
      </c>
      <c r="B8" s="130">
        <v>0.08826827124035144</v>
      </c>
      <c r="C8" s="130">
        <v>0.08457662411512824</v>
      </c>
      <c r="D8" s="130">
        <v>0.08920182936997373</v>
      </c>
      <c r="E8" s="130">
        <v>0.08539093498364421</v>
      </c>
    </row>
    <row r="9">
      <c r="A9" s="130" t="s">
        <v>11</v>
      </c>
      <c r="B9" s="130">
        <v>0.2218539415839868</v>
      </c>
      <c r="C9" s="130">
        <v>0.2034083977805405</v>
      </c>
      <c r="D9" s="130">
        <v>0.2547873867969994</v>
      </c>
      <c r="E9" s="130">
        <v>0.2355217932954706</v>
      </c>
    </row>
    <row r="10">
      <c r="A10" s="130" t="s">
        <v>20</v>
      </c>
      <c r="B10" s="130">
        <v>0.1140584946333987</v>
      </c>
      <c r="C10" s="130">
        <v>0.1335084932690621</v>
      </c>
      <c r="D10" s="130">
        <v>0.02513490653730497</v>
      </c>
      <c r="E10" s="130">
        <v>0.1973124659635771</v>
      </c>
    </row>
    <row r="11">
      <c r="A11" s="130" t="s">
        <v>9</v>
      </c>
      <c r="B11" s="130">
        <v>0.2240592513970601</v>
      </c>
      <c r="C11" s="130">
        <v>0.250839669690831</v>
      </c>
      <c r="D11" s="130">
        <v>0.2986660657467968</v>
      </c>
      <c r="E11" s="130">
        <v>0.2875249583011382</v>
      </c>
    </row>
    <row r="12">
      <c r="A12" s="130" t="s">
        <v>26</v>
      </c>
      <c r="B12" s="130">
        <v>0.05428269089594105</v>
      </c>
      <c r="C12" s="130">
        <v>0.06620974914227876</v>
      </c>
      <c r="D12" s="130">
        <v>0.05011337711298634</v>
      </c>
      <c r="E12" s="130">
        <v>0.06391216145100632</v>
      </c>
    </row>
    <row r="13">
      <c r="A13" s="130" t="s">
        <v>21</v>
      </c>
      <c r="B13" s="130">
        <v>0.05372389973790041</v>
      </c>
      <c r="C13" s="130">
        <v>0.0994812105822639</v>
      </c>
      <c r="D13" s="130">
        <v>0.1159510632116239</v>
      </c>
      <c r="E13" s="130">
        <v>0.05687532538987435</v>
      </c>
    </row>
    <row r="14">
      <c r="A14" s="130" t="s">
        <v>13</v>
      </c>
      <c r="B14" s="130">
        <v>0.08653551835370019</v>
      </c>
      <c r="C14" s="130">
        <v>0.1471753263202747</v>
      </c>
      <c r="D14" s="130">
        <v>0.2052144558871787</v>
      </c>
      <c r="E14" s="130">
        <v>0.1334152088861428</v>
      </c>
    </row>
    <row r="15">
      <c r="A15" s="130" t="s">
        <v>14</v>
      </c>
      <c r="B15" s="130">
        <v>0.1721440438059229</v>
      </c>
      <c r="C15" s="130">
        <v>0.2300494129965349</v>
      </c>
      <c r="D15" s="130">
        <v>0.297881835183702</v>
      </c>
      <c r="E15" s="130">
        <v>0.2220309039552045</v>
      </c>
    </row>
    <row r="16">
      <c r="A16" s="130" t="s">
        <v>12</v>
      </c>
      <c r="B16" s="130">
        <v>0.3445332715505044</v>
      </c>
      <c r="C16" s="130">
        <v>0.2917837159907461</v>
      </c>
      <c r="D16" s="130">
        <v>0.2828301491824726</v>
      </c>
      <c r="E16" s="130">
        <v>0.2684647673237105</v>
      </c>
    </row>
    <row r="17">
      <c r="A17" s="130" t="s">
        <v>19</v>
      </c>
      <c r="B17" s="130">
        <v>0.145018336283076</v>
      </c>
      <c r="C17" s="130">
        <v>0.1725055270532406</v>
      </c>
      <c r="D17" s="130">
        <v>0.2316083043906947</v>
      </c>
      <c r="E17" s="130">
        <v>0.2836393505734084</v>
      </c>
    </row>
    <row r="18">
      <c r="A18" s="130" t="s">
        <v>23</v>
      </c>
      <c r="B18" s="130">
        <v>0.2382175453466296</v>
      </c>
      <c r="C18" s="130">
        <v>0.311036960435629</v>
      </c>
      <c r="D18" s="130">
        <v>0.3528225691098784</v>
      </c>
      <c r="E18" s="130">
        <v>0.2363740753187567</v>
      </c>
    </row>
    <row r="19">
      <c r="A19" s="130" t="s">
        <v>16</v>
      </c>
      <c r="B19" s="130">
        <v>0.1737017864195691</v>
      </c>
      <c r="C19" s="130">
        <v>0.1567169552105317</v>
      </c>
      <c r="D19" s="130">
        <v>0.1662714087689544</v>
      </c>
      <c r="E19" s="130">
        <v>0.1322458053836451</v>
      </c>
    </row>
    <row r="20">
      <c r="A20" s="130" t="s">
        <v>15</v>
      </c>
      <c r="B20" s="130">
        <v>0.1781848939229056</v>
      </c>
      <c r="C20" s="130">
        <v>0.1438806978155442</v>
      </c>
      <c r="D20" s="130">
        <v>0.1424327745175279</v>
      </c>
      <c r="E20" s="130">
        <v>0.1366498132502158</v>
      </c>
    </row>
    <row r="21" ht="15.75" customHeight="1">
      <c r="A21" s="130" t="s">
        <v>24</v>
      </c>
      <c r="B21" s="130">
        <v>0.03784510469040209</v>
      </c>
      <c r="C21" s="130">
        <v>0.07756787899548404</v>
      </c>
      <c r="D21" s="130">
        <v>0.0997669008662155</v>
      </c>
      <c r="E21" s="130">
        <v>0.09552067328109605</v>
      </c>
    </row>
    <row r="22" ht="15.75" customHeight="1">
      <c r="A22" s="130" t="s">
        <v>18</v>
      </c>
      <c r="B22" s="130">
        <v>0.2729949294996834</v>
      </c>
      <c r="C22" s="130">
        <v>0.2260068480538774</v>
      </c>
      <c r="D22" s="130">
        <v>0.09198402849665974</v>
      </c>
      <c r="E22" s="130">
        <v>0.0454299692234164</v>
      </c>
    </row>
    <row r="23" ht="15.75" customHeight="1">
      <c r="A23" s="130" t="s">
        <v>25</v>
      </c>
      <c r="B23" s="130">
        <v>0.2418662359342439</v>
      </c>
      <c r="C23" s="130">
        <v>0.2079614560527659</v>
      </c>
      <c r="D23" s="130">
        <v>-0.03665861196822118</v>
      </c>
      <c r="E23" s="130">
        <v>0.2123950519847533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29"/>
    <col customWidth="1" min="3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0.1331712175731091</v>
      </c>
      <c r="C2" s="130">
        <v>0.1508776510282776</v>
      </c>
      <c r="D2" s="130">
        <v>0.1400093743968678</v>
      </c>
      <c r="E2" s="130">
        <v>0.1561351463545516</v>
      </c>
    </row>
    <row r="3">
      <c r="A3" s="130" t="s">
        <v>10</v>
      </c>
      <c r="B3" s="130">
        <v>0.477632327831531</v>
      </c>
      <c r="C3" s="130">
        <v>0.6191058567740182</v>
      </c>
      <c r="D3" s="130">
        <v>0.4648835866846258</v>
      </c>
      <c r="E3" s="130">
        <v>0.6325925925925926</v>
      </c>
    </row>
    <row r="4">
      <c r="A4" s="130" t="s">
        <v>17</v>
      </c>
      <c r="B4" s="130">
        <v>0.3571398674572724</v>
      </c>
      <c r="C4" s="130">
        <v>0.7231768908598177</v>
      </c>
      <c r="D4" s="130">
        <v>0.2700509737864826</v>
      </c>
      <c r="E4" s="130">
        <v>0.2312714807795199</v>
      </c>
    </row>
    <row r="5">
      <c r="A5" s="130" t="s">
        <v>28</v>
      </c>
      <c r="B5" s="130">
        <v>0.3276084156290253</v>
      </c>
      <c r="C5" s="130">
        <v>0.421765295887663</v>
      </c>
      <c r="D5" s="130">
        <v>0.4288407163053723</v>
      </c>
      <c r="E5" s="130">
        <v>0.4628057913130305</v>
      </c>
    </row>
    <row r="6">
      <c r="A6" s="130" t="s">
        <v>11</v>
      </c>
      <c r="B6" s="130">
        <v>0.4278777492145102</v>
      </c>
      <c r="C6" s="130">
        <v>0.185470719051149</v>
      </c>
      <c r="D6" s="130">
        <v>0.1887162467943883</v>
      </c>
      <c r="E6" s="130">
        <v>0.1596274084471099</v>
      </c>
    </row>
    <row r="7">
      <c r="A7" s="130" t="s">
        <v>20</v>
      </c>
      <c r="B7" s="130">
        <v>0.4445110258868648</v>
      </c>
      <c r="C7" s="130">
        <v>0.5132731437811616</v>
      </c>
      <c r="D7" s="130">
        <v>0.3802037845705968</v>
      </c>
      <c r="E7" s="130">
        <v>0.42332910321489</v>
      </c>
    </row>
    <row r="8">
      <c r="A8" s="130" t="s">
        <v>9</v>
      </c>
      <c r="B8" s="130">
        <v>0.0</v>
      </c>
      <c r="C8" s="130">
        <v>0.0</v>
      </c>
      <c r="D8" s="130">
        <v>0.1011901489747677</v>
      </c>
      <c r="E8" s="130">
        <v>0.1371577539377064</v>
      </c>
    </row>
    <row r="9">
      <c r="A9" s="130" t="s">
        <v>26</v>
      </c>
      <c r="B9" s="130">
        <v>0.4393816110659072</v>
      </c>
      <c r="C9" s="130">
        <v>1.346698113207547</v>
      </c>
      <c r="D9" s="130">
        <v>0.715090795241077</v>
      </c>
      <c r="E9" s="130">
        <v>0.7674731182795699</v>
      </c>
    </row>
    <row r="10">
      <c r="A10" s="130" t="s">
        <v>21</v>
      </c>
      <c r="B10" s="130">
        <v>0.6612258494337109</v>
      </c>
      <c r="C10" s="130">
        <v>0.5996668517490283</v>
      </c>
      <c r="D10" s="130">
        <v>0.6667612829974453</v>
      </c>
      <c r="E10" s="130">
        <v>0.7687789799072643</v>
      </c>
    </row>
    <row r="11">
      <c r="A11" s="130" t="s">
        <v>13</v>
      </c>
      <c r="B11" s="130">
        <v>0.0</v>
      </c>
      <c r="C11" s="130">
        <v>0.0</v>
      </c>
      <c r="D11" s="130">
        <v>0.0</v>
      </c>
      <c r="E11" s="130">
        <v>0.0</v>
      </c>
    </row>
    <row r="12">
      <c r="A12" s="130" t="s">
        <v>14</v>
      </c>
      <c r="B12" s="130">
        <v>0.0</v>
      </c>
      <c r="C12" s="130">
        <v>0.0</v>
      </c>
      <c r="D12" s="130">
        <v>0.09380085811510579</v>
      </c>
      <c r="E12" s="130">
        <v>0.1154655273373962</v>
      </c>
    </row>
    <row r="13">
      <c r="A13" s="130" t="s">
        <v>12</v>
      </c>
      <c r="B13" s="130">
        <v>0.278361908855086</v>
      </c>
      <c r="C13" s="130">
        <v>0.3329129886506936</v>
      </c>
      <c r="D13" s="130">
        <v>0.2939206977089549</v>
      </c>
      <c r="E13" s="130">
        <v>0.3362891175936658</v>
      </c>
    </row>
    <row r="14">
      <c r="A14" s="130" t="s">
        <v>16</v>
      </c>
      <c r="B14" s="130">
        <v>1.101356174161313</v>
      </c>
      <c r="C14" s="130">
        <v>0.8432609793033822</v>
      </c>
      <c r="D14" s="130">
        <v>1.005564056196968</v>
      </c>
      <c r="E14" s="130">
        <v>0.9955683003128258</v>
      </c>
    </row>
    <row r="15">
      <c r="A15" s="130" t="s">
        <v>15</v>
      </c>
      <c r="B15" s="130"/>
      <c r="C15" s="130">
        <v>0.0</v>
      </c>
      <c r="D15" s="130">
        <v>0.0</v>
      </c>
      <c r="E15" s="130">
        <v>0.0983480293211516</v>
      </c>
    </row>
    <row r="16">
      <c r="A16" s="130" t="s">
        <v>24</v>
      </c>
      <c r="B16" s="130">
        <v>0.0</v>
      </c>
      <c r="C16" s="130">
        <v>0.0964119772844605</v>
      </c>
      <c r="D16" s="130">
        <v>0.3305950711280304</v>
      </c>
      <c r="E16" s="130">
        <v>0.2671290594412394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29"/>
    <col customWidth="1" min="3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0.1487029448012585</v>
      </c>
      <c r="C2" s="130">
        <v>0.1549048920047425</v>
      </c>
      <c r="D2" s="130">
        <v>0.1625202696936076</v>
      </c>
      <c r="E2" s="130">
        <v>0.1376752075707526</v>
      </c>
    </row>
    <row r="3">
      <c r="A3" s="130" t="s">
        <v>10</v>
      </c>
      <c r="B3" s="130">
        <v>0.6404151404151404</v>
      </c>
      <c r="C3" s="130">
        <v>0.6782789935983325</v>
      </c>
      <c r="D3" s="130">
        <v>1.181418092909535</v>
      </c>
      <c r="E3" s="130">
        <v>0.6645052522370639</v>
      </c>
    </row>
    <row r="4">
      <c r="A4" s="130" t="s">
        <v>17</v>
      </c>
      <c r="B4" s="130">
        <v>0.4551402866185413</v>
      </c>
      <c r="C4" s="130">
        <v>0.2995662712080622</v>
      </c>
      <c r="D4" s="130">
        <v>0.3239605895715569</v>
      </c>
      <c r="E4" s="130">
        <v>0.2653963827085978</v>
      </c>
    </row>
    <row r="5">
      <c r="A5" s="130" t="s">
        <v>28</v>
      </c>
      <c r="B5" s="130">
        <v>0.5059681697612732</v>
      </c>
      <c r="C5" s="130">
        <v>0.5038945476333133</v>
      </c>
      <c r="D5" s="130">
        <v>0.6417489421720733</v>
      </c>
      <c r="E5" s="130">
        <v>0.4773429454170958</v>
      </c>
    </row>
    <row r="6">
      <c r="A6" s="130" t="s">
        <v>11</v>
      </c>
      <c r="B6" s="130">
        <v>0.256331279945243</v>
      </c>
      <c r="C6" s="130">
        <v>0.1988239033693579</v>
      </c>
      <c r="D6" s="130">
        <v>0.169811320754717</v>
      </c>
      <c r="E6" s="130">
        <v>0.1544635140140758</v>
      </c>
    </row>
    <row r="7">
      <c r="A7" s="130" t="s">
        <v>20</v>
      </c>
      <c r="B7" s="130">
        <v>0.8077090592334495</v>
      </c>
      <c r="C7" s="130">
        <v>0.6723742277140335</v>
      </c>
      <c r="D7" s="130">
        <v>8.1625</v>
      </c>
      <c r="E7" s="130">
        <v>0.4703877790834313</v>
      </c>
    </row>
    <row r="8">
      <c r="A8" s="130" t="s">
        <v>9</v>
      </c>
      <c r="B8" s="130">
        <v>0.0</v>
      </c>
      <c r="C8" s="130">
        <v>0.0</v>
      </c>
      <c r="D8" s="130">
        <v>0.07354321900157813</v>
      </c>
      <c r="E8" s="130">
        <v>0.07603086933494742</v>
      </c>
    </row>
    <row r="9">
      <c r="A9" s="130" t="s">
        <v>26</v>
      </c>
      <c r="B9" s="130">
        <v>0.7520891364902507</v>
      </c>
      <c r="C9" s="130">
        <v>0.5236130215497479</v>
      </c>
      <c r="D9" s="130">
        <v>0.7925052047189451</v>
      </c>
      <c r="E9" s="130">
        <v>0.5493025493025493</v>
      </c>
    </row>
    <row r="10">
      <c r="A10" s="130" t="s">
        <v>21</v>
      </c>
      <c r="B10" s="130">
        <v>0.7305852042694148</v>
      </c>
      <c r="C10" s="130">
        <v>0.4355716878402904</v>
      </c>
      <c r="D10" s="130">
        <v>0.5094339622641509</v>
      </c>
      <c r="E10" s="130">
        <v>1.01468788249694</v>
      </c>
    </row>
    <row r="11">
      <c r="A11" s="130" t="s">
        <v>13</v>
      </c>
      <c r="B11" s="130">
        <v>0.0</v>
      </c>
      <c r="C11" s="130">
        <v>0.0</v>
      </c>
      <c r="D11" s="130">
        <v>0.0</v>
      </c>
      <c r="E11" s="130">
        <v>0.0</v>
      </c>
    </row>
    <row r="12">
      <c r="A12" s="130" t="s">
        <v>14</v>
      </c>
      <c r="B12" s="130">
        <v>0.0</v>
      </c>
      <c r="C12" s="130">
        <v>0.0</v>
      </c>
      <c r="D12" s="130">
        <v>0.08133418858242464</v>
      </c>
      <c r="E12" s="130">
        <v>0.08806113334877105</v>
      </c>
    </row>
    <row r="13">
      <c r="A13" s="130" t="s">
        <v>12</v>
      </c>
      <c r="B13" s="130">
        <v>0.2493194753773818</v>
      </c>
      <c r="C13" s="130">
        <v>0.2736280593137187</v>
      </c>
      <c r="D13" s="130">
        <v>0.2470159753108832</v>
      </c>
      <c r="E13" s="130">
        <v>0.2364875481184696</v>
      </c>
    </row>
    <row r="14">
      <c r="A14" s="130" t="s">
        <v>16</v>
      </c>
      <c r="B14" s="130">
        <v>0.6927048260381594</v>
      </c>
      <c r="C14" s="130">
        <v>0.7363896848137536</v>
      </c>
      <c r="D14" s="130">
        <v>0.7547504698266861</v>
      </c>
      <c r="E14" s="130">
        <v>0.9269417475728156</v>
      </c>
    </row>
    <row r="15">
      <c r="A15" s="130" t="s">
        <v>15</v>
      </c>
      <c r="B15" s="130"/>
      <c r="C15" s="130">
        <v>0.0</v>
      </c>
      <c r="D15" s="130">
        <v>0.0</v>
      </c>
      <c r="E15" s="130">
        <v>0.0821993828941819</v>
      </c>
    </row>
    <row r="16">
      <c r="A16" s="130" t="s">
        <v>24</v>
      </c>
      <c r="B16" s="130">
        <v>0.0</v>
      </c>
      <c r="C16" s="130">
        <v>0.0898160394372971</v>
      </c>
      <c r="D16" s="130">
        <v>0.2910309551106799</v>
      </c>
      <c r="E16" s="130">
        <v>0.3749090247452693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5.43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2.614461635617304</v>
      </c>
      <c r="C2" s="130">
        <v>1.787532584558942</v>
      </c>
      <c r="D2" s="130">
        <v>1.872326602282704</v>
      </c>
      <c r="E2" s="130">
        <v>1.338030461258866</v>
      </c>
    </row>
    <row r="3">
      <c r="A3" s="130" t="s">
        <v>22</v>
      </c>
      <c r="B3" s="130">
        <v>0.05229223744292238</v>
      </c>
      <c r="C3" s="130">
        <v>0.05372861948042654</v>
      </c>
      <c r="D3" s="130">
        <v>0.03842412451361868</v>
      </c>
      <c r="E3" s="130">
        <v>0.0610644613406562</v>
      </c>
    </row>
    <row r="4">
      <c r="A4" s="130" t="s">
        <v>10</v>
      </c>
      <c r="B4" s="130">
        <v>10.63780387872166</v>
      </c>
      <c r="C4" s="130">
        <v>10.36793966623877</v>
      </c>
      <c r="D4" s="130">
        <v>10.22613578356304</v>
      </c>
      <c r="E4" s="130">
        <v>6.306768306768307</v>
      </c>
    </row>
    <row r="5">
      <c r="A5" s="130" t="s">
        <v>8</v>
      </c>
      <c r="B5" s="130">
        <v>0.9594297569893798</v>
      </c>
      <c r="C5" s="130">
        <v>0.6717572755417957</v>
      </c>
      <c r="D5" s="130">
        <v>0.4577403224114417</v>
      </c>
      <c r="E5" s="130">
        <v>0.372172284188632</v>
      </c>
    </row>
    <row r="6">
      <c r="A6" s="130" t="s">
        <v>17</v>
      </c>
      <c r="B6" s="130">
        <v>0.4835429245925455</v>
      </c>
      <c r="C6" s="130">
        <v>0.3442954417055692</v>
      </c>
      <c r="D6" s="130">
        <v>0.2537019397298234</v>
      </c>
      <c r="E6" s="130">
        <v>0.2238861524969152</v>
      </c>
    </row>
    <row r="7">
      <c r="A7" s="130" t="s">
        <v>28</v>
      </c>
      <c r="B7" s="130">
        <v>1.598898885457231</v>
      </c>
      <c r="C7" s="130">
        <v>1.428786359077232</v>
      </c>
      <c r="D7" s="130">
        <v>1.334786193897986</v>
      </c>
      <c r="E7" s="130">
        <v>1.364901084875559</v>
      </c>
    </row>
    <row r="8">
      <c r="A8" s="130" t="s">
        <v>27</v>
      </c>
      <c r="B8" s="130">
        <v>10.70325693606755</v>
      </c>
      <c r="C8" s="130">
        <v>8.858199530939924</v>
      </c>
      <c r="D8" s="130">
        <v>6.143773657535125</v>
      </c>
      <c r="E8" s="130">
        <v>6.049644948299489</v>
      </c>
    </row>
    <row r="9">
      <c r="A9" s="130" t="s">
        <v>11</v>
      </c>
      <c r="B9" s="130">
        <v>0.4378936149597907</v>
      </c>
      <c r="C9" s="130">
        <v>0.354537473062495</v>
      </c>
      <c r="D9" s="130">
        <v>0.3458216916433833</v>
      </c>
      <c r="E9" s="130">
        <v>0.2802427650528048</v>
      </c>
    </row>
    <row r="10">
      <c r="A10" s="130" t="s">
        <v>20</v>
      </c>
      <c r="B10" s="130">
        <v>1.187853107344633</v>
      </c>
      <c r="C10" s="130">
        <v>1.094337143607936</v>
      </c>
      <c r="D10" s="130">
        <v>1.381841696844283</v>
      </c>
      <c r="E10" s="130">
        <v>1.09840542683464</v>
      </c>
    </row>
    <row r="11">
      <c r="A11" s="130" t="s">
        <v>9</v>
      </c>
      <c r="B11" s="130">
        <v>0.1158684177650072</v>
      </c>
      <c r="C11" s="130">
        <v>0.09570575095543424</v>
      </c>
      <c r="D11" s="130">
        <v>0.06944051383642381</v>
      </c>
      <c r="E11" s="130">
        <v>0.1427787075722731</v>
      </c>
    </row>
    <row r="12">
      <c r="A12" s="130" t="s">
        <v>26</v>
      </c>
      <c r="B12" s="130">
        <v>0.540595399188092</v>
      </c>
      <c r="C12" s="130">
        <v>0.5773484966505686</v>
      </c>
      <c r="D12" s="130">
        <v>0.6415872623025203</v>
      </c>
      <c r="E12" s="130">
        <v>0.6325834770340178</v>
      </c>
    </row>
    <row r="13">
      <c r="A13" s="130" t="s">
        <v>21</v>
      </c>
      <c r="B13" s="130">
        <v>0.8721868839043262</v>
      </c>
      <c r="C13" s="130">
        <v>0.7039743046731611</v>
      </c>
      <c r="D13" s="130">
        <v>0.6821624832912521</v>
      </c>
      <c r="E13" s="130">
        <v>0.8438733648115179</v>
      </c>
    </row>
    <row r="14">
      <c r="A14" s="130" t="s">
        <v>13</v>
      </c>
      <c r="B14" s="130">
        <v>2.963327859879584</v>
      </c>
      <c r="C14" s="130">
        <v>1.736567893194399</v>
      </c>
      <c r="D14" s="130">
        <v>1.574350723971501</v>
      </c>
      <c r="E14" s="130">
        <v>1.688203912270302</v>
      </c>
    </row>
    <row r="15">
      <c r="A15" s="130" t="s">
        <v>14</v>
      </c>
      <c r="B15" s="130">
        <v>0.2115214814696968</v>
      </c>
      <c r="C15" s="130">
        <v>0.2430925519690797</v>
      </c>
      <c r="D15" s="130">
        <v>0.2686202686202686</v>
      </c>
      <c r="E15" s="130">
        <v>0.3861896585850867</v>
      </c>
    </row>
    <row r="16">
      <c r="A16" s="130" t="s">
        <v>12</v>
      </c>
      <c r="B16" s="130">
        <v>0.3678951855988279</v>
      </c>
      <c r="C16" s="130">
        <v>0.2907774593522546</v>
      </c>
      <c r="D16" s="130">
        <v>0.2500288665323286</v>
      </c>
      <c r="E16" s="130">
        <v>0.1763950634536609</v>
      </c>
    </row>
    <row r="17">
      <c r="A17" s="130" t="s">
        <v>19</v>
      </c>
      <c r="B17" s="130">
        <v>0.6908022808049957</v>
      </c>
      <c r="C17" s="130">
        <v>0.7063842967609828</v>
      </c>
      <c r="D17" s="130">
        <v>0.6297719322359626</v>
      </c>
      <c r="E17" s="130">
        <v>0.5433992418249104</v>
      </c>
    </row>
    <row r="18">
      <c r="A18" s="130" t="s">
        <v>23</v>
      </c>
      <c r="B18" s="130">
        <v>0.1437903796125004</v>
      </c>
      <c r="C18" s="130">
        <v>0.05429295957708801</v>
      </c>
      <c r="D18" s="130">
        <v>0.03385475802794651</v>
      </c>
      <c r="E18" s="130">
        <v>0.01301158235106052</v>
      </c>
    </row>
    <row r="19">
      <c r="A19" s="130" t="s">
        <v>16</v>
      </c>
      <c r="B19" s="130">
        <v>2.30649017435419</v>
      </c>
      <c r="C19" s="130">
        <v>2.413716694590066</v>
      </c>
      <c r="D19" s="130">
        <v>2.491436173161133</v>
      </c>
      <c r="E19" s="130">
        <v>2.445408213270607</v>
      </c>
    </row>
    <row r="20">
      <c r="A20" s="130" t="s">
        <v>15</v>
      </c>
      <c r="B20" s="130">
        <v>0.1191934345217084</v>
      </c>
      <c r="C20" s="130">
        <v>0.1040653599300815</v>
      </c>
      <c r="D20" s="130">
        <v>0.09213179984737818</v>
      </c>
      <c r="E20" s="130">
        <v>0.0865696854134607</v>
      </c>
    </row>
    <row r="21" ht="15.75" customHeight="1">
      <c r="A21" s="130" t="s">
        <v>24</v>
      </c>
      <c r="B21" s="130">
        <v>1.604915585161364</v>
      </c>
      <c r="C21" s="130">
        <v>1.747446496175539</v>
      </c>
      <c r="D21" s="130">
        <v>1.845515945643899</v>
      </c>
      <c r="E21" s="130">
        <v>2.065250071786903</v>
      </c>
    </row>
    <row r="22" ht="15.75" customHeight="1">
      <c r="A22" s="130" t="s">
        <v>18</v>
      </c>
      <c r="B22" s="130">
        <v>0.128579098067287</v>
      </c>
      <c r="C22" s="130">
        <v>0.1528403103745569</v>
      </c>
      <c r="D22" s="130">
        <v>0.1868391096237982</v>
      </c>
      <c r="E22" s="130">
        <v>0.1792006038691455</v>
      </c>
    </row>
    <row r="23" ht="15.75" customHeight="1">
      <c r="A23" s="130" t="s">
        <v>25</v>
      </c>
      <c r="B23" s="130">
        <v>0.06466753397974513</v>
      </c>
      <c r="C23" s="130">
        <v>0.04598302655229688</v>
      </c>
      <c r="D23" s="130">
        <v>0.106297533151326</v>
      </c>
      <c r="E23" s="130">
        <v>0.1087818362995425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57"/>
    <col customWidth="1" min="3" max="5" width="13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40.74957352439441</v>
      </c>
      <c r="C2" s="130">
        <v>29.06203915586067</v>
      </c>
      <c r="D2" s="130">
        <v>31.32875667429443</v>
      </c>
      <c r="E2" s="130">
        <v>33.82913806254767</v>
      </c>
    </row>
    <row r="3">
      <c r="A3" s="130" t="s">
        <v>22</v>
      </c>
      <c r="B3" s="130">
        <v>14.45454545454546</v>
      </c>
      <c r="C3" s="130">
        <v>5.641509433962264</v>
      </c>
      <c r="D3" s="130">
        <v>22.6195652173913</v>
      </c>
      <c r="E3" s="130">
        <v>32.6030534351145</v>
      </c>
    </row>
    <row r="4">
      <c r="A4" s="130" t="s">
        <v>10</v>
      </c>
      <c r="B4" s="130">
        <v>6.22475106685633</v>
      </c>
      <c r="C4" s="130">
        <v>3.732173913043478</v>
      </c>
      <c r="D4" s="130">
        <v>2.460855784469097</v>
      </c>
      <c r="E4" s="130">
        <v>4.258076225045372</v>
      </c>
    </row>
    <row r="5">
      <c r="A5" s="130" t="s">
        <v>8</v>
      </c>
      <c r="B5" s="130">
        <v>-1.507815800591466</v>
      </c>
      <c r="C5" s="130">
        <v>12.80295411690761</v>
      </c>
      <c r="D5" s="130">
        <v>29.51787198669992</v>
      </c>
      <c r="E5" s="130">
        <v>43.79287598944591</v>
      </c>
    </row>
    <row r="6">
      <c r="A6" s="130" t="s">
        <v>17</v>
      </c>
      <c r="B6" s="130">
        <v>107.1858552631579</v>
      </c>
      <c r="C6" s="130">
        <v>60.48592010478062</v>
      </c>
      <c r="D6" s="130">
        <v>56.61131611316113</v>
      </c>
      <c r="E6" s="130">
        <v>97.4167371090448</v>
      </c>
    </row>
    <row r="7">
      <c r="A7" s="130" t="s">
        <v>28</v>
      </c>
      <c r="B7" s="130">
        <v>13.08024691358025</v>
      </c>
      <c r="C7" s="130">
        <v>14.59876543209877</v>
      </c>
      <c r="D7" s="130">
        <v>9.0</v>
      </c>
      <c r="E7" s="130">
        <v>10.37591240875912</v>
      </c>
    </row>
    <row r="8">
      <c r="A8" s="130" t="s">
        <v>27</v>
      </c>
      <c r="B8" s="130">
        <v>2.63784021071115</v>
      </c>
      <c r="C8" s="130">
        <v>2.32112567463377</v>
      </c>
      <c r="D8" s="130">
        <v>2.434691145534519</v>
      </c>
      <c r="E8" s="130">
        <v>2.479174930583102</v>
      </c>
    </row>
    <row r="9">
      <c r="A9" s="130" t="s">
        <v>11</v>
      </c>
      <c r="B9" s="130">
        <v>50.62025316455696</v>
      </c>
      <c r="C9" s="130">
        <v>54.04375</v>
      </c>
      <c r="D9" s="130">
        <v>58.63313609467455</v>
      </c>
      <c r="E9" s="130">
        <v>71.24675324675324</v>
      </c>
    </row>
    <row r="10">
      <c r="A10" s="130" t="s">
        <v>20</v>
      </c>
      <c r="B10" s="130">
        <v>7.218181818181818</v>
      </c>
      <c r="C10" s="130">
        <v>8.265889830508474</v>
      </c>
      <c r="D10" s="130">
        <v>1.706243602865916</v>
      </c>
      <c r="E10" s="130">
        <v>10.56640625</v>
      </c>
    </row>
    <row r="11">
      <c r="A11" s="130" t="s">
        <v>9</v>
      </c>
      <c r="B11" s="130">
        <v>200.7983193277311</v>
      </c>
      <c r="C11" s="130">
        <v>279.301948051948</v>
      </c>
      <c r="D11" s="130">
        <v>448.0708955223881</v>
      </c>
      <c r="E11" s="130">
        <v>216.7961956521739</v>
      </c>
    </row>
    <row r="12">
      <c r="A12" s="130" t="s">
        <v>26</v>
      </c>
      <c r="B12" s="130">
        <v>3.48051948051948</v>
      </c>
      <c r="C12" s="130">
        <v>6.558467741935484</v>
      </c>
      <c r="D12" s="130">
        <v>3.604081632653061</v>
      </c>
      <c r="E12" s="130">
        <v>4.563660477453581</v>
      </c>
    </row>
    <row r="13">
      <c r="A13" s="130" t="s">
        <v>21</v>
      </c>
      <c r="B13" s="130">
        <v>8.542056074766355</v>
      </c>
      <c r="C13" s="130">
        <v>11.69090909090909</v>
      </c>
      <c r="D13" s="130">
        <v>13.3248031496063</v>
      </c>
      <c r="E13" s="130">
        <v>6.031719532554257</v>
      </c>
    </row>
    <row r="14">
      <c r="A14" s="130" t="s">
        <v>13</v>
      </c>
      <c r="B14" s="130">
        <v>6.777777777777778</v>
      </c>
      <c r="C14" s="130">
        <v>9.925287356321839</v>
      </c>
      <c r="D14" s="130">
        <v>15.73939393939394</v>
      </c>
      <c r="E14" s="130">
        <v>18.7625</v>
      </c>
    </row>
    <row r="15">
      <c r="A15" s="130" t="s">
        <v>14</v>
      </c>
      <c r="B15" s="130">
        <v>156.7783783783784</v>
      </c>
      <c r="C15" s="130">
        <v>107.3408071748879</v>
      </c>
      <c r="D15" s="130">
        <v>99.82937062937063</v>
      </c>
      <c r="E15" s="130">
        <v>74.76137339055794</v>
      </c>
    </row>
    <row r="16">
      <c r="A16" s="130" t="s">
        <v>12</v>
      </c>
      <c r="B16" s="130">
        <v>41.57973824527387</v>
      </c>
      <c r="C16" s="130">
        <v>46.38160569105691</v>
      </c>
      <c r="D16" s="130">
        <v>37.72470187393527</v>
      </c>
      <c r="E16" s="130">
        <v>52.83522012578617</v>
      </c>
    </row>
    <row r="17">
      <c r="A17" s="130" t="s">
        <v>19</v>
      </c>
      <c r="B17" s="130">
        <v>8.453751847887037</v>
      </c>
      <c r="C17" s="130">
        <v>9.289368926980837</v>
      </c>
      <c r="D17" s="130">
        <v>14.86558986438636</v>
      </c>
      <c r="E17" s="130">
        <v>17.38427322249553</v>
      </c>
    </row>
    <row r="18">
      <c r="A18" s="130" t="s">
        <v>23</v>
      </c>
      <c r="B18" s="130">
        <v>706.043345271513</v>
      </c>
      <c r="C18" s="130">
        <v>1635.145429331393</v>
      </c>
      <c r="D18" s="130"/>
      <c r="E18" s="130"/>
    </row>
    <row r="19">
      <c r="A19" s="130" t="s">
        <v>16</v>
      </c>
      <c r="B19" s="130">
        <v>12.40042598509052</v>
      </c>
      <c r="C19" s="130">
        <v>14.94017094017094</v>
      </c>
      <c r="D19" s="130">
        <v>13.99891186071817</v>
      </c>
      <c r="E19" s="130">
        <v>10.13826940231936</v>
      </c>
    </row>
    <row r="20">
      <c r="A20" s="130" t="s">
        <v>15</v>
      </c>
      <c r="B20" s="130">
        <v>82.79797979797979</v>
      </c>
      <c r="C20" s="130">
        <v>58.52465753424657</v>
      </c>
      <c r="D20" s="130">
        <v>87.59239130434783</v>
      </c>
      <c r="E20" s="130">
        <v>120.4223744292238</v>
      </c>
    </row>
    <row r="21" ht="15.75" customHeight="1">
      <c r="A21" s="130" t="s">
        <v>24</v>
      </c>
      <c r="B21" s="130">
        <v>1.935196195005945</v>
      </c>
      <c r="C21" s="130">
        <v>4.298050974512743</v>
      </c>
      <c r="D21" s="130">
        <v>5.313104661389622</v>
      </c>
      <c r="E21" s="130">
        <v>4.78404875463699</v>
      </c>
    </row>
    <row r="22" ht="15.75" customHeight="1">
      <c r="A22" s="130" t="s">
        <v>18</v>
      </c>
      <c r="B22" s="130">
        <v>72.82722513089006</v>
      </c>
      <c r="C22" s="130">
        <v>64.92948717948718</v>
      </c>
      <c r="D22" s="130">
        <v>26.68571428571429</v>
      </c>
      <c r="E22" s="130">
        <v>16.61538461538462</v>
      </c>
    </row>
    <row r="23" ht="15.75" customHeight="1">
      <c r="A23" s="130" t="s">
        <v>25</v>
      </c>
      <c r="B23" s="130">
        <v>78.23357664233576</v>
      </c>
      <c r="C23" s="130">
        <v>100.3151927437642</v>
      </c>
      <c r="D23" s="130">
        <v>9.120915032679738</v>
      </c>
      <c r="E23" s="130">
        <v>350.1127819548872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29"/>
    <col customWidth="1" min="3" max="3" width="15.43"/>
    <col customWidth="1" min="4" max="4" width="14.86"/>
    <col customWidth="1" min="5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0.9220335144927536</v>
      </c>
      <c r="C2" s="130">
        <v>0.9950939795477459</v>
      </c>
      <c r="D2" s="130">
        <v>1.109022873702276</v>
      </c>
      <c r="E2" s="130">
        <v>1.129995844187437</v>
      </c>
    </row>
    <row r="3">
      <c r="A3" s="130" t="s">
        <v>22</v>
      </c>
      <c r="B3" s="130">
        <v>1.245197345441844</v>
      </c>
      <c r="C3" s="130">
        <v>0.5551115551115551</v>
      </c>
      <c r="D3" s="130">
        <v>1.374773960216998</v>
      </c>
      <c r="E3" s="130">
        <v>2.003899142188719</v>
      </c>
    </row>
    <row r="4">
      <c r="A4" s="130" t="s">
        <v>10</v>
      </c>
      <c r="B4" s="130">
        <v>0.2496084221337784</v>
      </c>
      <c r="C4" s="130">
        <v>0.1311036478727191</v>
      </c>
      <c r="D4" s="130">
        <v>0.1911845454999251</v>
      </c>
      <c r="E4" s="130">
        <v>0.1823675921177936</v>
      </c>
    </row>
    <row r="5">
      <c r="A5" s="130" t="s">
        <v>8</v>
      </c>
      <c r="B5" s="130">
        <v>0.3336616280563525</v>
      </c>
      <c r="C5" s="130">
        <v>0.6263946140062384</v>
      </c>
      <c r="D5" s="130">
        <v>0.8852330022918258</v>
      </c>
      <c r="E5" s="130">
        <v>0.9119336937125376</v>
      </c>
    </row>
    <row r="6">
      <c r="A6" s="130" t="s">
        <v>28</v>
      </c>
      <c r="B6" s="130">
        <v>0.2462417065591669</v>
      </c>
      <c r="C6" s="130">
        <v>0.2462267462267462</v>
      </c>
      <c r="D6" s="130">
        <v>0.270143853146236</v>
      </c>
      <c r="E6" s="130">
        <v>0.2761361511127735</v>
      </c>
    </row>
    <row r="7">
      <c r="A7" s="130" t="s">
        <v>27</v>
      </c>
      <c r="B7" s="130">
        <v>0.152915381699333</v>
      </c>
      <c r="C7" s="130">
        <v>0.146972566750168</v>
      </c>
      <c r="D7" s="130">
        <v>0.1506845023652141</v>
      </c>
      <c r="E7" s="130">
        <v>0.1655357749611309</v>
      </c>
    </row>
    <row r="8">
      <c r="A8" s="130" t="s">
        <v>11</v>
      </c>
      <c r="B8" s="130">
        <v>0.8177895784931961</v>
      </c>
      <c r="C8" s="130">
        <v>1.245835209365151</v>
      </c>
      <c r="D8" s="130">
        <v>1.388052393193781</v>
      </c>
      <c r="E8" s="130">
        <v>1.631591826746605</v>
      </c>
    </row>
    <row r="9">
      <c r="A9" s="130" t="s">
        <v>20</v>
      </c>
      <c r="B9" s="130">
        <v>0.3595719381688466</v>
      </c>
      <c r="C9" s="130">
        <v>0.3204066114379477</v>
      </c>
      <c r="D9" s="130">
        <v>0.4053760622964322</v>
      </c>
      <c r="E9" s="130">
        <v>0.4017885787616298</v>
      </c>
    </row>
    <row r="10">
      <c r="A10" s="130" t="s">
        <v>9</v>
      </c>
      <c r="B10" s="130">
        <v>3.082819502004785</v>
      </c>
      <c r="C10" s="130">
        <v>3.751557833413222</v>
      </c>
      <c r="D10" s="130">
        <v>5.55058917338531</v>
      </c>
      <c r="E10" s="130">
        <v>2.778043885243966</v>
      </c>
    </row>
    <row r="11">
      <c r="A11" s="130" t="s">
        <v>26</v>
      </c>
      <c r="B11" s="130">
        <v>0.2088640212029743</v>
      </c>
      <c r="C11" s="130">
        <v>0.08965191581219643</v>
      </c>
      <c r="D11" s="130">
        <v>0.1426642664266427</v>
      </c>
      <c r="E11" s="130">
        <v>0.1233504739483303</v>
      </c>
    </row>
    <row r="12">
      <c r="A12" s="130" t="s">
        <v>21</v>
      </c>
      <c r="B12" s="130">
        <v>0.1666737748965753</v>
      </c>
      <c r="C12" s="130">
        <v>0.2363499623965906</v>
      </c>
      <c r="D12" s="130">
        <v>0.2672545177443936</v>
      </c>
      <c r="E12" s="130">
        <v>0.2070262337185838</v>
      </c>
    </row>
    <row r="13">
      <c r="A13" s="130" t="s">
        <v>13</v>
      </c>
      <c r="B13" s="130">
        <v>0.5430365718507573</v>
      </c>
      <c r="C13" s="130">
        <v>0.9638102381398838</v>
      </c>
      <c r="D13" s="130">
        <v>1.155912408759124</v>
      </c>
      <c r="E13" s="130">
        <v>1.063553370786517</v>
      </c>
    </row>
    <row r="14">
      <c r="A14" s="130" t="s">
        <v>14</v>
      </c>
      <c r="B14" s="130">
        <v>1.898198638637133</v>
      </c>
      <c r="C14" s="130">
        <v>1.909894182736209</v>
      </c>
      <c r="D14" s="130">
        <v>1.861557276803913</v>
      </c>
      <c r="E14" s="130">
        <v>1.380263895014124</v>
      </c>
    </row>
    <row r="15">
      <c r="A15" s="130" t="s">
        <v>12</v>
      </c>
      <c r="B15" s="130">
        <v>1.45315815244002</v>
      </c>
      <c r="C15" s="130">
        <v>1.460551988660052</v>
      </c>
      <c r="D15" s="130">
        <v>1.766025593278413</v>
      </c>
      <c r="E15" s="130">
        <v>2.247342708127022</v>
      </c>
    </row>
    <row r="16">
      <c r="A16" s="130" t="s">
        <v>19</v>
      </c>
      <c r="B16" s="130">
        <v>0.14117231734856</v>
      </c>
      <c r="C16" s="130">
        <v>0.5001836245667323</v>
      </c>
      <c r="D16" s="130">
        <v>0.4724030411984904</v>
      </c>
      <c r="E16" s="130">
        <v>0.7017484675896207</v>
      </c>
    </row>
    <row r="17">
      <c r="A17" s="130" t="s">
        <v>23</v>
      </c>
      <c r="B17" s="130">
        <v>2.864469818812962</v>
      </c>
      <c r="C17" s="130">
        <v>9.262585874090256</v>
      </c>
      <c r="D17" s="130">
        <v>11.49502052391125</v>
      </c>
      <c r="E17" s="130">
        <v>19.8815329455761</v>
      </c>
    </row>
    <row r="18">
      <c r="A18" s="130" t="s">
        <v>16</v>
      </c>
      <c r="B18" s="130">
        <v>0.2733225463922739</v>
      </c>
      <c r="C18" s="130">
        <v>0.3009784823447751</v>
      </c>
      <c r="D18" s="130">
        <v>0.2782548722968764</v>
      </c>
      <c r="E18" s="130">
        <v>0.2422195947976994</v>
      </c>
    </row>
    <row r="19">
      <c r="A19" s="130" t="s">
        <v>15</v>
      </c>
      <c r="B19" s="130">
        <v>1.856407788554083</v>
      </c>
      <c r="C19" s="130">
        <v>1.699655925117466</v>
      </c>
      <c r="D19" s="130">
        <v>1.634558497263718</v>
      </c>
      <c r="E19" s="130">
        <v>1.840016260763517</v>
      </c>
    </row>
    <row r="20">
      <c r="A20" s="130" t="s">
        <v>24</v>
      </c>
      <c r="B20" s="130">
        <v>0.1501091312437384</v>
      </c>
      <c r="C20" s="130">
        <v>0.1641140371045045</v>
      </c>
      <c r="D20" s="130">
        <v>0.1956487397317981</v>
      </c>
      <c r="E20" s="130">
        <v>0.2285943288977582</v>
      </c>
    </row>
    <row r="21" ht="15.75" customHeight="1">
      <c r="A21" s="130" t="s">
        <v>18</v>
      </c>
      <c r="B21" s="130">
        <v>2.561586638830898</v>
      </c>
      <c r="C21" s="130">
        <v>1.384727880497232</v>
      </c>
      <c r="D21" s="130">
        <v>1.095426851647948</v>
      </c>
      <c r="E21" s="130">
        <v>1.001902303145594</v>
      </c>
    </row>
    <row r="22" ht="15.75" customHeight="1">
      <c r="A22" s="130" t="s">
        <v>25</v>
      </c>
      <c r="B22" s="130">
        <v>4.59030788040458</v>
      </c>
      <c r="C22" s="130">
        <v>4.375680356259277</v>
      </c>
      <c r="D22" s="130">
        <v>-0.2824055495040991</v>
      </c>
      <c r="E22" s="130">
        <v>1.788426495936961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0"/>
    <col customWidth="1" min="3" max="4" width="17.14"/>
    <col customWidth="1" min="5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0.8337150780214645</v>
      </c>
      <c r="C2" s="130">
        <v>0.6447544110634239</v>
      </c>
      <c r="D2" s="130">
        <v>0.5694744580836323</v>
      </c>
      <c r="E2" s="130">
        <v>0.4333255036339017</v>
      </c>
    </row>
    <row r="3">
      <c r="A3" s="130" t="s">
        <v>22</v>
      </c>
      <c r="B3" s="130">
        <v>-0.3563426093241778</v>
      </c>
      <c r="C3" s="130">
        <v>-0.2295729449518637</v>
      </c>
      <c r="D3" s="130">
        <v>-0.3061224489795918</v>
      </c>
      <c r="E3" s="130">
        <v>-0.2325773195876289</v>
      </c>
    </row>
    <row r="4">
      <c r="A4" s="130" t="s">
        <v>10</v>
      </c>
      <c r="B4" s="130">
        <v>2.573424274796615</v>
      </c>
      <c r="C4" s="130">
        <v>3.626038781163435</v>
      </c>
      <c r="D4" s="130">
        <v>3.603324348607368</v>
      </c>
      <c r="E4" s="130">
        <v>2.691146881287726</v>
      </c>
    </row>
    <row r="5">
      <c r="A5" s="130" t="s">
        <v>8</v>
      </c>
      <c r="B5" s="130">
        <v>2.248383395911556</v>
      </c>
      <c r="C5" s="130">
        <v>0.6960023265698754</v>
      </c>
      <c r="D5" s="130">
        <v>0.4209586883657069</v>
      </c>
      <c r="E5" s="130">
        <v>0.4002455531295928</v>
      </c>
    </row>
    <row r="6">
      <c r="A6" s="130" t="s">
        <v>17</v>
      </c>
      <c r="B6" s="130">
        <v>-0.4236180550665446</v>
      </c>
      <c r="C6" s="130">
        <v>-0.2378809141940658</v>
      </c>
      <c r="D6" s="130">
        <v>-0.7950037536054368</v>
      </c>
      <c r="E6" s="130">
        <v>-0.6792745990135693</v>
      </c>
    </row>
    <row r="7">
      <c r="A7" s="130" t="s">
        <v>28</v>
      </c>
      <c r="B7" s="130">
        <v>3.584327086882453</v>
      </c>
      <c r="C7" s="130">
        <v>3.160278745644599</v>
      </c>
      <c r="D7" s="130">
        <v>3.139826422372228</v>
      </c>
      <c r="E7" s="130">
        <v>2.595857673924588</v>
      </c>
    </row>
    <row r="8">
      <c r="A8" s="130" t="s">
        <v>27</v>
      </c>
      <c r="B8" s="130">
        <v>4.634482099326036</v>
      </c>
      <c r="C8" s="130">
        <v>4.701176584048606</v>
      </c>
      <c r="D8" s="130">
        <v>4.452625677443469</v>
      </c>
      <c r="E8" s="130">
        <v>4.55631511951346</v>
      </c>
    </row>
    <row r="9">
      <c r="A9" s="130" t="s">
        <v>11</v>
      </c>
      <c r="B9" s="130">
        <v>-0.1175995150535462</v>
      </c>
      <c r="C9" s="130">
        <v>-0.4490861618798956</v>
      </c>
      <c r="D9" s="130">
        <v>-0.1430100444590812</v>
      </c>
      <c r="E9" s="130">
        <v>-0.4469323779668607</v>
      </c>
    </row>
    <row r="10">
      <c r="A10" s="130" t="s">
        <v>20</v>
      </c>
      <c r="B10" s="130">
        <v>2.238816086760054</v>
      </c>
      <c r="C10" s="130">
        <v>1.800876524390244</v>
      </c>
      <c r="D10" s="130">
        <v>3.77086152458277</v>
      </c>
      <c r="E10" s="130">
        <v>1.279234167893962</v>
      </c>
    </row>
    <row r="11">
      <c r="A11" s="130" t="s">
        <v>9</v>
      </c>
      <c r="B11" s="130">
        <v>0.09159229685298262</v>
      </c>
      <c r="C11" s="130">
        <v>0.03136642475834685</v>
      </c>
      <c r="D11" s="130">
        <v>-0.006588179682999247</v>
      </c>
      <c r="E11" s="130">
        <v>0.1581810534704313</v>
      </c>
    </row>
    <row r="12">
      <c r="A12" s="130" t="s">
        <v>26</v>
      </c>
      <c r="B12" s="130">
        <v>4.180711310477411</v>
      </c>
      <c r="C12" s="130">
        <v>3.663981877674301</v>
      </c>
      <c r="D12" s="130">
        <v>4.448255470136014</v>
      </c>
      <c r="E12" s="130">
        <v>3.603958035288507</v>
      </c>
    </row>
    <row r="13">
      <c r="A13" s="130" t="s">
        <v>21</v>
      </c>
      <c r="B13" s="130">
        <v>4.519000629855134</v>
      </c>
      <c r="C13" s="130">
        <v>2.372138652714192</v>
      </c>
      <c r="D13" s="130">
        <v>2.108908437616157</v>
      </c>
      <c r="E13" s="130">
        <v>3.95876081271374</v>
      </c>
    </row>
    <row r="14">
      <c r="A14" s="130" t="s">
        <v>13</v>
      </c>
      <c r="B14" s="130">
        <v>2.658573596358119</v>
      </c>
      <c r="C14" s="130">
        <v>1.233673922701022</v>
      </c>
      <c r="D14" s="130">
        <v>1.31144990665837</v>
      </c>
      <c r="E14" s="130">
        <v>2.021465968586388</v>
      </c>
    </row>
    <row r="15">
      <c r="A15" s="130" t="s">
        <v>14</v>
      </c>
      <c r="B15" s="130">
        <v>0.3159989387105333</v>
      </c>
      <c r="C15" s="130">
        <v>-0.07837160468739417</v>
      </c>
      <c r="D15" s="130">
        <v>0.05952161701735807</v>
      </c>
      <c r="E15" s="130">
        <v>0.4542866061884536</v>
      </c>
    </row>
    <row r="16">
      <c r="A16" s="130" t="s">
        <v>12</v>
      </c>
      <c r="B16" s="130">
        <v>0.4722612955037461</v>
      </c>
      <c r="C16" s="130">
        <v>0.2402606049077421</v>
      </c>
      <c r="D16" s="130">
        <v>0.3669826853821922</v>
      </c>
      <c r="E16" s="130">
        <v>0.189467112040708</v>
      </c>
    </row>
    <row r="17">
      <c r="A17" s="130" t="s">
        <v>19</v>
      </c>
      <c r="B17" s="130">
        <v>0.4527576045882165</v>
      </c>
      <c r="C17" s="130">
        <v>0.3452768447954744</v>
      </c>
      <c r="D17" s="130">
        <v>0.2955775758459463</v>
      </c>
      <c r="E17" s="130">
        <v>0.1794488094164272</v>
      </c>
    </row>
    <row r="18">
      <c r="A18" s="130" t="s">
        <v>23</v>
      </c>
      <c r="B18" s="130">
        <v>-0.4436049984807077</v>
      </c>
      <c r="C18" s="130">
        <v>-0.6723522237787158</v>
      </c>
      <c r="D18" s="130">
        <v>-0.3485012280255331</v>
      </c>
      <c r="E18" s="130">
        <v>-0.8454440249547366</v>
      </c>
    </row>
    <row r="19">
      <c r="A19" s="130" t="s">
        <v>16</v>
      </c>
      <c r="B19" s="130">
        <v>2.31841329402305</v>
      </c>
      <c r="C19" s="130">
        <v>2.218484194490288</v>
      </c>
      <c r="D19" s="130">
        <v>2.184832134292566</v>
      </c>
      <c r="E19" s="130">
        <v>2.621244290034099</v>
      </c>
    </row>
    <row r="20">
      <c r="A20" s="130" t="s">
        <v>15</v>
      </c>
      <c r="B20" s="130">
        <v>-0.07690698912464826</v>
      </c>
      <c r="C20" s="130">
        <v>-0.005774188737135917</v>
      </c>
      <c r="D20" s="130">
        <v>0.04065438134637082</v>
      </c>
      <c r="E20" s="130">
        <v>-0.07084665360420749</v>
      </c>
    </row>
    <row r="21" ht="15.75" customHeight="1">
      <c r="A21" s="130" t="s">
        <v>24</v>
      </c>
      <c r="B21" s="130">
        <v>5.321412628341848</v>
      </c>
      <c r="C21" s="130">
        <v>3.975802887448439</v>
      </c>
      <c r="D21" s="130">
        <v>3.496391985052509</v>
      </c>
      <c r="E21" s="130">
        <v>3.69644837309508</v>
      </c>
    </row>
    <row r="22" ht="15.75" customHeight="1">
      <c r="A22" s="130" t="s">
        <v>18</v>
      </c>
      <c r="B22" s="130">
        <v>-0.5949481791923883</v>
      </c>
      <c r="C22" s="130">
        <v>-0.4612733171127332</v>
      </c>
      <c r="D22" s="130">
        <v>-0.17106336687517</v>
      </c>
      <c r="E22" s="130">
        <v>-0.1524991499489969</v>
      </c>
    </row>
    <row r="23" ht="15.75" customHeight="1">
      <c r="A23" s="130" t="s">
        <v>25</v>
      </c>
      <c r="B23" s="130">
        <v>-2.165325216999211</v>
      </c>
      <c r="C23" s="130">
        <v>-2.076066186050551</v>
      </c>
      <c r="D23" s="130">
        <v>-5.809788196586469</v>
      </c>
      <c r="E23" s="130">
        <v>-0.6276431785956477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0.8793560286267226</v>
      </c>
      <c r="C2" s="130">
        <v>0.9880116717592975</v>
      </c>
      <c r="D2" s="130">
        <v>0.8673125765340832</v>
      </c>
      <c r="E2" s="130">
        <v>0.8932929222186667</v>
      </c>
    </row>
    <row r="3">
      <c r="A3" s="130" t="s">
        <v>22</v>
      </c>
      <c r="B3" s="130">
        <v>2.358140995446695</v>
      </c>
      <c r="C3" s="130">
        <v>2.506802212587831</v>
      </c>
      <c r="D3" s="130">
        <v>2.61626150254086</v>
      </c>
      <c r="E3" s="130">
        <v>2.850026441036489</v>
      </c>
    </row>
    <row r="4">
      <c r="A4" s="130" t="s">
        <v>10</v>
      </c>
      <c r="B4" s="130">
        <v>1.414292088990884</v>
      </c>
      <c r="C4" s="130">
        <v>1.64919530230535</v>
      </c>
      <c r="D4" s="130">
        <v>1.256764362093597</v>
      </c>
      <c r="E4" s="130">
        <v>1.139981952999333</v>
      </c>
    </row>
    <row r="5">
      <c r="A5" s="130" t="s">
        <v>8</v>
      </c>
      <c r="B5" s="130">
        <v>0.9446435811136924</v>
      </c>
      <c r="C5" s="130">
        <v>1.045077220662515</v>
      </c>
      <c r="D5" s="130">
        <v>1.063734806137178</v>
      </c>
      <c r="E5" s="130">
        <v>1.050815348271829</v>
      </c>
    </row>
    <row r="6">
      <c r="A6" s="130" t="s">
        <v>17</v>
      </c>
      <c r="B6" s="130">
        <v>1.282551880602327</v>
      </c>
      <c r="C6" s="130">
        <v>1.498884772069531</v>
      </c>
      <c r="D6" s="130">
        <v>1.532930368951794</v>
      </c>
      <c r="E6" s="130">
        <v>1.26179633117512</v>
      </c>
    </row>
    <row r="7">
      <c r="A7" s="130" t="s">
        <v>28</v>
      </c>
      <c r="B7" s="130">
        <v>0.8947080541501435</v>
      </c>
      <c r="C7" s="130">
        <v>0.907529541082715</v>
      </c>
      <c r="D7" s="130">
        <v>0.8145784758866118</v>
      </c>
      <c r="E7" s="130">
        <v>0.8014502307185234</v>
      </c>
    </row>
    <row r="8">
      <c r="A8" s="130" t="s">
        <v>27</v>
      </c>
      <c r="B8" s="130">
        <v>0.3329465395772897</v>
      </c>
      <c r="C8" s="130">
        <v>0.3126986529438474</v>
      </c>
      <c r="D8" s="130">
        <v>0.3138810618419101</v>
      </c>
      <c r="E8" s="130">
        <v>0.3865925146550429</v>
      </c>
    </row>
    <row r="9">
      <c r="A9" s="130" t="s">
        <v>11</v>
      </c>
      <c r="B9" s="130">
        <v>1.02181386336646</v>
      </c>
      <c r="C9" s="130">
        <v>1.068367924247387</v>
      </c>
      <c r="D9" s="130">
        <v>0.965655312429506</v>
      </c>
      <c r="E9" s="130">
        <v>1.034278322733642</v>
      </c>
    </row>
    <row r="10">
      <c r="A10" s="130" t="s">
        <v>20</v>
      </c>
      <c r="B10" s="130">
        <v>1.285193094856736</v>
      </c>
      <c r="C10" s="130">
        <v>1.425975177304964</v>
      </c>
      <c r="D10" s="130">
        <v>1.597217594135288</v>
      </c>
      <c r="E10" s="130">
        <v>1.552696182172183</v>
      </c>
    </row>
    <row r="11">
      <c r="A11" s="130" t="s">
        <v>9</v>
      </c>
      <c r="B11" s="130">
        <v>2.377994227994228</v>
      </c>
      <c r="C11" s="130">
        <v>2.096584936563424</v>
      </c>
      <c r="D11" s="130">
        <v>1.836931397410291</v>
      </c>
      <c r="E11" s="130">
        <v>2.005333592875566</v>
      </c>
    </row>
    <row r="12">
      <c r="A12" s="130" t="s">
        <v>26</v>
      </c>
      <c r="B12" s="130">
        <v>0.4710252600297177</v>
      </c>
      <c r="C12" s="130">
        <v>0.3785329744279946</v>
      </c>
      <c r="D12" s="130">
        <v>0.4942500309138123</v>
      </c>
      <c r="E12" s="130">
        <v>0.6352231604342582</v>
      </c>
    </row>
    <row r="13">
      <c r="A13" s="130" t="s">
        <v>21</v>
      </c>
      <c r="B13" s="130">
        <v>0.6031319108242185</v>
      </c>
      <c r="C13" s="130">
        <v>0.615526218902856</v>
      </c>
      <c r="D13" s="130">
        <v>0.6773748017801422</v>
      </c>
      <c r="E13" s="130">
        <v>0.5923435784851812</v>
      </c>
    </row>
    <row r="14">
      <c r="A14" s="130" t="s">
        <v>13</v>
      </c>
      <c r="B14" s="130">
        <v>1.279257182901191</v>
      </c>
      <c r="C14" s="130">
        <v>1.266092515315635</v>
      </c>
      <c r="D14" s="130">
        <v>1.213154249232066</v>
      </c>
      <c r="E14" s="130">
        <v>1.172528201725282</v>
      </c>
    </row>
    <row r="15">
      <c r="A15" s="130" t="s">
        <v>14</v>
      </c>
      <c r="B15" s="130">
        <v>2.203396729075705</v>
      </c>
      <c r="C15" s="130">
        <v>2.670994993742178</v>
      </c>
      <c r="D15" s="130">
        <v>2.977884271937135</v>
      </c>
      <c r="E15" s="130">
        <v>2.598766612486854</v>
      </c>
    </row>
    <row r="16">
      <c r="A16" s="130" t="s">
        <v>12</v>
      </c>
      <c r="B16" s="130">
        <v>1.784606970825182</v>
      </c>
      <c r="C16" s="130">
        <v>1.76916725076573</v>
      </c>
      <c r="D16" s="130">
        <v>1.274954903181521</v>
      </c>
      <c r="E16" s="130">
        <v>1.353446444504242</v>
      </c>
    </row>
    <row r="17">
      <c r="A17" s="130" t="s">
        <v>19</v>
      </c>
      <c r="B17" s="130">
        <v>1.168390288506809</v>
      </c>
      <c r="C17" s="130">
        <v>1.119345353136986</v>
      </c>
      <c r="D17" s="130">
        <v>1.218028060323187</v>
      </c>
      <c r="E17" s="130">
        <v>1.185709316059751</v>
      </c>
    </row>
    <row r="18">
      <c r="A18" s="130" t="s">
        <v>23</v>
      </c>
      <c r="B18" s="130">
        <v>1.853185385032083</v>
      </c>
      <c r="C18" s="130">
        <v>1.927722270256602</v>
      </c>
      <c r="D18" s="130">
        <v>2.20593322615702</v>
      </c>
      <c r="E18" s="130">
        <v>2.428121869753603</v>
      </c>
    </row>
    <row r="19">
      <c r="A19" s="130" t="s">
        <v>16</v>
      </c>
      <c r="B19" s="130">
        <v>0.8041441105096135</v>
      </c>
      <c r="C19" s="130">
        <v>0.851581508515815</v>
      </c>
      <c r="D19" s="130">
        <v>0.8189370877727042</v>
      </c>
      <c r="E19" s="130">
        <v>0.8530399218654621</v>
      </c>
    </row>
    <row r="20">
      <c r="A20" s="130" t="s">
        <v>15</v>
      </c>
      <c r="B20" s="130">
        <v>5.056537102473499</v>
      </c>
      <c r="C20" s="130">
        <v>5.690015773792137</v>
      </c>
      <c r="D20" s="130">
        <v>4.731105646122252</v>
      </c>
      <c r="E20" s="130">
        <v>4.125515062723194</v>
      </c>
    </row>
    <row r="21" ht="15.75" customHeight="1">
      <c r="A21" s="130" t="s">
        <v>24</v>
      </c>
      <c r="B21" s="130">
        <v>0.7706329318567617</v>
      </c>
      <c r="C21" s="130">
        <v>0.9085913608562691</v>
      </c>
      <c r="D21" s="130">
        <v>0.9122633092098741</v>
      </c>
      <c r="E21" s="130">
        <v>0.9984081632653061</v>
      </c>
    </row>
    <row r="22" ht="15.75" customHeight="1">
      <c r="A22" s="130" t="s">
        <v>18</v>
      </c>
      <c r="B22" s="130">
        <v>1.53195552061103</v>
      </c>
      <c r="C22" s="130">
        <v>1.72589397523306</v>
      </c>
      <c r="D22" s="130">
        <v>2.024912390270983</v>
      </c>
      <c r="E22" s="130">
        <v>2.164406886548528</v>
      </c>
    </row>
    <row r="23" ht="15.75" customHeight="1">
      <c r="A23" s="130" t="s">
        <v>25</v>
      </c>
      <c r="B23" s="130">
        <v>4.826519820575472</v>
      </c>
      <c r="C23" s="130">
        <v>3.987201894345154</v>
      </c>
      <c r="D23" s="130">
        <v>2.692139370476351</v>
      </c>
      <c r="E23" s="130">
        <v>2.900911633689009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0.8472353911496149</v>
      </c>
      <c r="C2" s="130">
        <v>0.9444421504665951</v>
      </c>
      <c r="D2" s="130">
        <v>0.8260068483831466</v>
      </c>
      <c r="E2" s="130">
        <v>0.858770399261008</v>
      </c>
    </row>
    <row r="3">
      <c r="A3" s="130" t="s">
        <v>22</v>
      </c>
      <c r="B3" s="130">
        <v>1.766054325639818</v>
      </c>
      <c r="C3" s="130">
        <v>1.856331290177904</v>
      </c>
      <c r="D3" s="130">
        <v>1.828732316989425</v>
      </c>
      <c r="E3" s="130">
        <v>2.012374405076679</v>
      </c>
    </row>
    <row r="4">
      <c r="A4" s="130" t="s">
        <v>10</v>
      </c>
      <c r="B4" s="130">
        <v>1.10001912411551</v>
      </c>
      <c r="C4" s="130">
        <v>1.13168769030013</v>
      </c>
      <c r="D4" s="130">
        <v>0.953807524135244</v>
      </c>
      <c r="E4" s="130">
        <v>0.8957589548432657</v>
      </c>
    </row>
    <row r="5">
      <c r="A5" s="130" t="s">
        <v>8</v>
      </c>
      <c r="B5" s="130">
        <v>0.7232372114574016</v>
      </c>
      <c r="C5" s="130">
        <v>0.8430483212767634</v>
      </c>
      <c r="D5" s="130">
        <v>0.8730542659852534</v>
      </c>
      <c r="E5" s="130">
        <v>0.8750166280589895</v>
      </c>
    </row>
    <row r="6">
      <c r="A6" s="130" t="s">
        <v>17</v>
      </c>
      <c r="B6" s="130">
        <v>0.8822037856713895</v>
      </c>
      <c r="C6" s="130">
        <v>0.9550529349235316</v>
      </c>
      <c r="D6" s="130">
        <v>0.9897513390586193</v>
      </c>
      <c r="E6" s="130">
        <v>0.7907549899233017</v>
      </c>
    </row>
    <row r="7">
      <c r="A7" s="130" t="s">
        <v>28</v>
      </c>
      <c r="B7" s="130">
        <v>0.70600300834131</v>
      </c>
      <c r="C7" s="130">
        <v>0.7212146194009343</v>
      </c>
      <c r="D7" s="130">
        <v>0.6172536507546939</v>
      </c>
      <c r="E7" s="130">
        <v>0.5974950560316414</v>
      </c>
    </row>
    <row r="8">
      <c r="A8" s="130" t="s">
        <v>27</v>
      </c>
      <c r="B8" s="130">
        <v>0.3329465395772897</v>
      </c>
      <c r="C8" s="130">
        <v>0.3126986529438474</v>
      </c>
      <c r="D8" s="130">
        <v>0.3138810618419101</v>
      </c>
      <c r="E8" s="130">
        <v>0.3865925146550429</v>
      </c>
    </row>
    <row r="9">
      <c r="A9" s="130" t="s">
        <v>11</v>
      </c>
      <c r="B9" s="130">
        <v>0.4621851365710357</v>
      </c>
      <c r="C9" s="130">
        <v>0.5725515886013757</v>
      </c>
      <c r="D9" s="130">
        <v>0.4398545003383713</v>
      </c>
      <c r="E9" s="130">
        <v>0.5460817074485286</v>
      </c>
    </row>
    <row r="10">
      <c r="A10" s="130" t="s">
        <v>20</v>
      </c>
      <c r="B10" s="130">
        <v>1.151094500800854</v>
      </c>
      <c r="C10" s="130">
        <v>1.267553191489362</v>
      </c>
      <c r="D10" s="130">
        <v>1.454765078307231</v>
      </c>
      <c r="E10" s="130">
        <v>1.402522644544146</v>
      </c>
    </row>
    <row r="11">
      <c r="A11" s="130" t="s">
        <v>9</v>
      </c>
      <c r="B11" s="130">
        <v>2.339466089466089</v>
      </c>
      <c r="C11" s="130">
        <v>2.063949935218911</v>
      </c>
      <c r="D11" s="130">
        <v>1.806972464711295</v>
      </c>
      <c r="E11" s="130">
        <v>1.979346926857755</v>
      </c>
    </row>
    <row r="12">
      <c r="A12" s="130" t="s">
        <v>26</v>
      </c>
      <c r="B12" s="130">
        <v>0.3083209509658247</v>
      </c>
      <c r="C12" s="130">
        <v>0.2504486316733961</v>
      </c>
      <c r="D12" s="130">
        <v>0.3336218622480524</v>
      </c>
      <c r="E12" s="130">
        <v>0.4261761158021713</v>
      </c>
    </row>
    <row r="13">
      <c r="A13" s="130" t="s">
        <v>21</v>
      </c>
      <c r="B13" s="130">
        <v>0.401051939513478</v>
      </c>
      <c r="C13" s="130">
        <v>0.4253931520538579</v>
      </c>
      <c r="D13" s="130">
        <v>0.4816103125479564</v>
      </c>
      <c r="E13" s="130">
        <v>0.3902305159165752</v>
      </c>
    </row>
    <row r="14">
      <c r="A14" s="130" t="s">
        <v>13</v>
      </c>
      <c r="B14" s="130">
        <v>1.261504321420229</v>
      </c>
      <c r="C14" s="130">
        <v>1.244961377963242</v>
      </c>
      <c r="D14" s="130">
        <v>1.195326145877251</v>
      </c>
      <c r="E14" s="130">
        <v>1.152621101526211</v>
      </c>
    </row>
    <row r="15">
      <c r="A15" s="130" t="s">
        <v>14</v>
      </c>
      <c r="B15" s="130">
        <v>2.203396729075705</v>
      </c>
      <c r="C15" s="130">
        <v>2.670994993742178</v>
      </c>
      <c r="D15" s="130">
        <v>2.977884271937135</v>
      </c>
      <c r="E15" s="130">
        <v>2.598766612486854</v>
      </c>
    </row>
    <row r="16">
      <c r="A16" s="130" t="s">
        <v>12</v>
      </c>
      <c r="B16" s="130">
        <v>1.745251467154666</v>
      </c>
      <c r="C16" s="130">
        <v>1.745163179675273</v>
      </c>
      <c r="D16" s="130">
        <v>1.265009657902719</v>
      </c>
      <c r="E16" s="130">
        <v>1.346804231755159</v>
      </c>
    </row>
    <row r="17">
      <c r="A17" s="130" t="s">
        <v>19</v>
      </c>
      <c r="B17" s="130">
        <v>1.168390288506809</v>
      </c>
      <c r="C17" s="130">
        <v>1.119345353136986</v>
      </c>
      <c r="D17" s="130">
        <v>1.218028060323187</v>
      </c>
      <c r="E17" s="130">
        <v>1.185709316059751</v>
      </c>
    </row>
    <row r="18">
      <c r="A18" s="130" t="s">
        <v>23</v>
      </c>
      <c r="B18" s="130">
        <v>1.853185385032083</v>
      </c>
      <c r="C18" s="130">
        <v>1.927722270256602</v>
      </c>
      <c r="D18" s="130">
        <v>2.20593322615702</v>
      </c>
      <c r="E18" s="130">
        <v>2.428121869753603</v>
      </c>
    </row>
    <row r="19">
      <c r="A19" s="130" t="s">
        <v>16</v>
      </c>
      <c r="B19" s="130">
        <v>0.6091842449131977</v>
      </c>
      <c r="C19" s="130">
        <v>0.6830347268303473</v>
      </c>
      <c r="D19" s="130">
        <v>0.6506849315068494</v>
      </c>
      <c r="E19" s="130">
        <v>0.6746429007447198</v>
      </c>
    </row>
    <row r="20">
      <c r="A20" s="130" t="s">
        <v>15</v>
      </c>
      <c r="B20" s="130">
        <v>4.291917359055168</v>
      </c>
      <c r="C20" s="130">
        <v>4.936232984752001</v>
      </c>
      <c r="D20" s="130">
        <v>3.948381208325939</v>
      </c>
      <c r="E20" s="130">
        <v>3.392798278545921</v>
      </c>
    </row>
    <row r="21" ht="15.75" customHeight="1">
      <c r="A21" s="130" t="s">
        <v>24</v>
      </c>
      <c r="B21" s="130">
        <v>0.6944871069436586</v>
      </c>
      <c r="C21" s="130">
        <v>0.8284116972477065</v>
      </c>
      <c r="D21" s="130">
        <v>0.8326063249727372</v>
      </c>
      <c r="E21" s="130">
        <v>0.9002448979591837</v>
      </c>
    </row>
    <row r="22" ht="15.75" customHeight="1">
      <c r="A22" s="130" t="s">
        <v>18</v>
      </c>
      <c r="B22" s="130">
        <v>1.051256130892209</v>
      </c>
      <c r="C22" s="130">
        <v>1.251913176568805</v>
      </c>
      <c r="D22" s="130">
        <v>1.607959473994657</v>
      </c>
      <c r="E22" s="130">
        <v>1.773664627609258</v>
      </c>
    </row>
    <row r="23" ht="15.75" customHeight="1">
      <c r="A23" s="130" t="s">
        <v>25</v>
      </c>
      <c r="B23" s="130">
        <v>4.658546369570767</v>
      </c>
      <c r="C23" s="130">
        <v>3.778936686023567</v>
      </c>
      <c r="D23" s="130">
        <v>2.353980811311227</v>
      </c>
      <c r="E23" s="130">
        <v>2.464052626126593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4" width="15.43"/>
    <col customWidth="1" min="5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0.1535634035146965</v>
      </c>
      <c r="C2" s="130">
        <v>0.2062171387673081</v>
      </c>
      <c r="D2" s="130">
        <v>0.1697525964896367</v>
      </c>
      <c r="E2" s="130">
        <v>0.216952140601699</v>
      </c>
    </row>
    <row r="3">
      <c r="A3" s="130" t="s">
        <v>22</v>
      </c>
      <c r="B3" s="130">
        <v>0.7591458627728058</v>
      </c>
      <c r="C3" s="130">
        <v>0.5879802661085364</v>
      </c>
      <c r="D3" s="130">
        <v>0.5201208625188848</v>
      </c>
      <c r="E3" s="130">
        <v>0.5858276044420941</v>
      </c>
    </row>
    <row r="4">
      <c r="A4" s="130" t="s">
        <v>10</v>
      </c>
      <c r="B4" s="130">
        <v>0.4863262574105948</v>
      </c>
      <c r="C4" s="130">
        <v>0.5950413223140496</v>
      </c>
      <c r="D4" s="130">
        <v>0.5183341270184857</v>
      </c>
      <c r="E4" s="130">
        <v>0.3581544980187532</v>
      </c>
    </row>
    <row r="5">
      <c r="A5" s="130" t="s">
        <v>8</v>
      </c>
      <c r="B5" s="130">
        <v>0.3467852477267316</v>
      </c>
      <c r="C5" s="130">
        <v>0.4449935422060794</v>
      </c>
      <c r="D5" s="130">
        <v>0.4390489937636194</v>
      </c>
      <c r="E5" s="130">
        <v>0.3982018761037591</v>
      </c>
    </row>
    <row r="6">
      <c r="A6" s="130" t="s">
        <v>17</v>
      </c>
      <c r="B6" s="130">
        <v>0.404162681554305</v>
      </c>
      <c r="C6" s="130">
        <v>0.4304042470828955</v>
      </c>
      <c r="D6" s="130">
        <v>0.6351626320356684</v>
      </c>
      <c r="E6" s="130">
        <v>0.5323134368341446</v>
      </c>
    </row>
    <row r="7">
      <c r="A7" s="130" t="s">
        <v>28</v>
      </c>
      <c r="B7" s="130">
        <v>0.1896622453165596</v>
      </c>
      <c r="C7" s="130">
        <v>0.1949711459192086</v>
      </c>
      <c r="D7" s="130">
        <v>0.1918026751748681</v>
      </c>
      <c r="E7" s="130">
        <v>0.1210283454185893</v>
      </c>
    </row>
    <row r="8">
      <c r="A8" s="130" t="s">
        <v>27</v>
      </c>
      <c r="B8" s="130">
        <v>0.0534604227103191</v>
      </c>
      <c r="C8" s="130">
        <v>0.05365521416679279</v>
      </c>
      <c r="D8" s="130">
        <v>0.0340352958623758</v>
      </c>
      <c r="E8" s="130">
        <v>0.03584848940327671</v>
      </c>
    </row>
    <row r="9">
      <c r="A9" s="130" t="s">
        <v>11</v>
      </c>
      <c r="B9" s="130">
        <v>0.3188636789799362</v>
      </c>
      <c r="C9" s="130">
        <v>0.4079444957270048</v>
      </c>
      <c r="D9" s="130">
        <v>0.2793255131964809</v>
      </c>
      <c r="E9" s="130">
        <v>0.3816158240810607</v>
      </c>
    </row>
    <row r="10">
      <c r="A10" s="130" t="s">
        <v>20</v>
      </c>
      <c r="B10" s="130">
        <v>0.4815803523758676</v>
      </c>
      <c r="C10" s="130">
        <v>0.5394503546099291</v>
      </c>
      <c r="D10" s="130">
        <v>0.8323058980339887</v>
      </c>
      <c r="E10" s="130">
        <v>0.6403115212054517</v>
      </c>
    </row>
    <row r="11">
      <c r="A11" s="130" t="s">
        <v>9</v>
      </c>
      <c r="B11" s="130">
        <v>0.3157142857142857</v>
      </c>
      <c r="C11" s="130">
        <v>0.2939350233456376</v>
      </c>
      <c r="D11" s="130">
        <v>0.2633019905298355</v>
      </c>
      <c r="E11" s="130">
        <v>0.2988758577059711</v>
      </c>
    </row>
    <row r="12">
      <c r="A12" s="130" t="s">
        <v>26</v>
      </c>
      <c r="B12" s="130">
        <v>0.06624566617137197</v>
      </c>
      <c r="C12" s="130">
        <v>0.02994616419919246</v>
      </c>
      <c r="D12" s="130">
        <v>0.0630641770743168</v>
      </c>
      <c r="E12" s="130">
        <v>0.1237635705669481</v>
      </c>
    </row>
    <row r="13">
      <c r="A13" s="130" t="s">
        <v>21</v>
      </c>
      <c r="B13" s="130">
        <v>0.1149363457055765</v>
      </c>
      <c r="C13" s="130">
        <v>0.09519802240572241</v>
      </c>
      <c r="D13" s="130">
        <v>0.0691083942912681</v>
      </c>
      <c r="E13" s="130">
        <v>0.09719173069886572</v>
      </c>
    </row>
    <row r="14">
      <c r="A14" s="130" t="s">
        <v>13</v>
      </c>
      <c r="B14" s="130">
        <v>0.2230787199252511</v>
      </c>
      <c r="C14" s="130">
        <v>0.226937760809731</v>
      </c>
      <c r="D14" s="130">
        <v>0.1587062579051979</v>
      </c>
      <c r="E14" s="130">
        <v>0.1281737854922642</v>
      </c>
    </row>
    <row r="15">
      <c r="A15" s="130" t="s">
        <v>14</v>
      </c>
      <c r="B15" s="130">
        <v>0.5432176422704063</v>
      </c>
      <c r="C15" s="130">
        <v>1.30982478097622</v>
      </c>
      <c r="D15" s="130">
        <v>1.306375759018931</v>
      </c>
      <c r="E15" s="130">
        <v>0.8574672530834688</v>
      </c>
    </row>
    <row r="16">
      <c r="A16" s="130" t="s">
        <v>12</v>
      </c>
      <c r="B16" s="130">
        <v>0.1465156391325382</v>
      </c>
      <c r="C16" s="130">
        <v>0.3332149132492871</v>
      </c>
      <c r="D16" s="130">
        <v>0.1461855275130501</v>
      </c>
      <c r="E16" s="130">
        <v>0.2141511705306689</v>
      </c>
    </row>
    <row r="17">
      <c r="A17" s="130" t="s">
        <v>19</v>
      </c>
      <c r="B17" s="130">
        <v>0.6489967058270523</v>
      </c>
      <c r="C17" s="130">
        <v>0.8032039392121688</v>
      </c>
      <c r="D17" s="130">
        <v>0.7256571582646857</v>
      </c>
      <c r="E17" s="130">
        <v>0.8226699377921542</v>
      </c>
    </row>
    <row r="18">
      <c r="A18" s="130" t="s">
        <v>23</v>
      </c>
      <c r="B18" s="130">
        <v>0.2936636556172549</v>
      </c>
      <c r="C18" s="130">
        <v>0.3910668191549767</v>
      </c>
      <c r="D18" s="130">
        <v>0.3065872959688176</v>
      </c>
      <c r="E18" s="130">
        <v>0.5095070175160176</v>
      </c>
    </row>
    <row r="19">
      <c r="A19" s="130" t="s">
        <v>16</v>
      </c>
      <c r="B19" s="130">
        <v>0.1849542654470786</v>
      </c>
      <c r="C19" s="130">
        <v>0.3068537302113944</v>
      </c>
      <c r="D19" s="130">
        <v>0.2696917808219178</v>
      </c>
      <c r="E19" s="130">
        <v>0.2795446221462581</v>
      </c>
    </row>
    <row r="20">
      <c r="A20" s="130" t="s">
        <v>15</v>
      </c>
      <c r="B20" s="130">
        <v>0.9887307802502149</v>
      </c>
      <c r="C20" s="130">
        <v>0.7974528246772215</v>
      </c>
      <c r="D20" s="130">
        <v>0.6308343685825115</v>
      </c>
      <c r="E20" s="130">
        <v>0.713785367640326</v>
      </c>
    </row>
    <row r="21" ht="15.75" customHeight="1">
      <c r="A21" s="130" t="s">
        <v>24</v>
      </c>
      <c r="B21" s="130">
        <v>0.1821598900654757</v>
      </c>
      <c r="C21" s="130">
        <v>0.2453650611620795</v>
      </c>
      <c r="D21" s="130">
        <v>0.2681173788044017</v>
      </c>
      <c r="E21" s="130">
        <v>0.2284897959183673</v>
      </c>
    </row>
    <row r="22" ht="15.75" customHeight="1">
      <c r="A22" s="130" t="s">
        <v>18</v>
      </c>
      <c r="B22" s="130">
        <v>0.6085214721629413</v>
      </c>
      <c r="C22" s="130">
        <v>0.5704048977320162</v>
      </c>
      <c r="D22" s="130">
        <v>0.559973630338989</v>
      </c>
      <c r="E22" s="130">
        <v>0.5206848710348742</v>
      </c>
    </row>
    <row r="23" ht="15.75" customHeight="1">
      <c r="A23" s="130" t="s">
        <v>25</v>
      </c>
      <c r="B23" s="130">
        <v>3.830640749790307</v>
      </c>
      <c r="C23" s="130">
        <v>2.923014038450696</v>
      </c>
      <c r="D23" s="130">
        <v>1.281939067497054</v>
      </c>
      <c r="E23" s="130">
        <v>1.316896301667875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86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3.52755E11</v>
      </c>
      <c r="C2" s="130">
        <v>3.52583E11</v>
      </c>
      <c r="D2" s="130">
        <v>3.6498E11</v>
      </c>
      <c r="E2" s="130">
        <v>3.59241E11</v>
      </c>
    </row>
    <row r="3">
      <c r="A3" s="130" t="s">
        <v>22</v>
      </c>
      <c r="B3" s="130">
        <v>6.758E10</v>
      </c>
      <c r="C3" s="130">
        <v>6.7885E10</v>
      </c>
      <c r="D3" s="130">
        <v>6.9226E10</v>
      </c>
      <c r="E3" s="130">
        <v>7.6926E10</v>
      </c>
    </row>
    <row r="4">
      <c r="A4" s="130" t="s">
        <v>10</v>
      </c>
      <c r="B4" s="130">
        <v>6.5121E10</v>
      </c>
      <c r="C4" s="130">
        <v>9.7154E10</v>
      </c>
      <c r="D4" s="130">
        <v>9.1839E10</v>
      </c>
      <c r="E4" s="130">
        <v>9.0586E10</v>
      </c>
    </row>
    <row r="5">
      <c r="A5" s="130" t="s">
        <v>8</v>
      </c>
      <c r="B5" s="130">
        <v>4.62675E11</v>
      </c>
      <c r="C5" s="130">
        <v>5.27854E11</v>
      </c>
      <c r="D5" s="130">
        <v>6.24894E11</v>
      </c>
      <c r="E5" s="130">
        <v>8.18042E11</v>
      </c>
    </row>
    <row r="6">
      <c r="A6" s="130" t="s">
        <v>17</v>
      </c>
      <c r="B6" s="130">
        <v>3.63004E10</v>
      </c>
      <c r="C6" s="130">
        <v>3.99575E10</v>
      </c>
      <c r="D6" s="130">
        <v>4.85896E10</v>
      </c>
      <c r="E6" s="130">
        <v>5.05666E10</v>
      </c>
    </row>
    <row r="7">
      <c r="A7" s="130" t="s">
        <v>28</v>
      </c>
      <c r="B7" s="130">
        <v>2.9313E10</v>
      </c>
      <c r="C7" s="130">
        <v>2.9254E10</v>
      </c>
      <c r="D7" s="130">
        <v>3.11E10</v>
      </c>
      <c r="E7" s="130">
        <v>2.9872E10</v>
      </c>
    </row>
    <row r="8">
      <c r="A8" s="130" t="s">
        <v>27</v>
      </c>
      <c r="B8" s="130">
        <v>1.44523E11</v>
      </c>
      <c r="C8" s="130">
        <v>1.47193E11</v>
      </c>
      <c r="D8" s="130">
        <v>1.5002E11</v>
      </c>
      <c r="E8" s="130">
        <v>1.54213E11</v>
      </c>
    </row>
    <row r="9">
      <c r="A9" s="130" t="s">
        <v>11</v>
      </c>
      <c r="B9" s="130">
        <v>6.4166E10</v>
      </c>
      <c r="C9" s="130">
        <v>6.8994E10</v>
      </c>
      <c r="D9" s="130">
        <v>6.9831E10</v>
      </c>
      <c r="E9" s="130">
        <v>7.7099E10</v>
      </c>
    </row>
    <row r="10">
      <c r="A10" s="130" t="s">
        <v>20</v>
      </c>
      <c r="B10" s="130">
        <v>6.3171E10</v>
      </c>
      <c r="C10" s="130">
        <v>6.2125E10</v>
      </c>
      <c r="D10" s="130">
        <v>5.8995E10</v>
      </c>
      <c r="E10" s="130">
        <v>5.9023E10</v>
      </c>
    </row>
    <row r="11">
      <c r="A11" s="130" t="s">
        <v>9</v>
      </c>
      <c r="B11" s="130">
        <v>3.65264E11</v>
      </c>
      <c r="C11" s="130">
        <v>4.02392E11</v>
      </c>
      <c r="D11" s="130">
        <v>4.50256E11</v>
      </c>
      <c r="E11" s="130">
        <v>5.95281E11</v>
      </c>
    </row>
    <row r="12">
      <c r="A12" s="130" t="s">
        <v>26</v>
      </c>
      <c r="B12" s="130">
        <v>5.1837E10</v>
      </c>
      <c r="C12" s="130">
        <v>5.213E10</v>
      </c>
      <c r="D12" s="130">
        <v>5.343E10</v>
      </c>
      <c r="E12" s="130">
        <v>5.5459E10</v>
      </c>
    </row>
    <row r="13">
      <c r="A13" s="130" t="s">
        <v>21</v>
      </c>
      <c r="B13" s="130">
        <v>7.1161E10</v>
      </c>
      <c r="C13" s="130">
        <v>7.1391E10</v>
      </c>
      <c r="D13" s="130">
        <v>6.8497E10</v>
      </c>
      <c r="E13" s="130">
        <v>7.1487E10</v>
      </c>
    </row>
    <row r="14">
      <c r="A14" s="130" t="s">
        <v>13</v>
      </c>
      <c r="B14" s="130">
        <v>1.3736E10</v>
      </c>
      <c r="C14" s="130">
        <v>1.7612E10</v>
      </c>
      <c r="D14" s="130">
        <v>2.5196E10</v>
      </c>
      <c r="E14" s="130">
        <v>4.2667E10</v>
      </c>
    </row>
    <row r="15">
      <c r="A15" s="130" t="s">
        <v>14</v>
      </c>
      <c r="B15" s="130">
        <v>1.85727E11</v>
      </c>
      <c r="C15" s="130">
        <v>2.29623E11</v>
      </c>
      <c r="D15" s="130">
        <v>2.76054E11</v>
      </c>
      <c r="E15" s="130">
        <v>3.66021E11</v>
      </c>
    </row>
    <row r="16">
      <c r="A16" s="130" t="s">
        <v>12</v>
      </c>
      <c r="B16" s="130">
        <v>3.6484E11</v>
      </c>
      <c r="C16" s="130">
        <v>4.11976E11</v>
      </c>
      <c r="D16" s="130">
        <v>5.12163E11</v>
      </c>
      <c r="E16" s="130">
        <v>6.19003E11</v>
      </c>
    </row>
    <row r="17">
      <c r="A17" s="130" t="s">
        <v>19</v>
      </c>
      <c r="B17" s="130">
        <v>4.8594768E10</v>
      </c>
      <c r="C17" s="130">
        <v>4.8731992E10</v>
      </c>
      <c r="D17" s="130">
        <v>5.3630374E10</v>
      </c>
      <c r="E17" s="130">
        <v>5.5596993E10</v>
      </c>
    </row>
    <row r="18">
      <c r="A18" s="130" t="s">
        <v>23</v>
      </c>
      <c r="B18" s="130">
        <v>2.37119953E11</v>
      </c>
      <c r="C18" s="130">
        <v>3.4807812E11</v>
      </c>
      <c r="D18" s="130">
        <v>5.05034316E11</v>
      </c>
      <c r="E18" s="130">
        <v>6.30044327E11</v>
      </c>
    </row>
    <row r="19">
      <c r="A19" s="130" t="s">
        <v>16</v>
      </c>
      <c r="B19" s="130">
        <v>9.2187E10</v>
      </c>
      <c r="C19" s="130">
        <v>1.00495E11</v>
      </c>
      <c r="D19" s="130">
        <v>9.9467E10</v>
      </c>
      <c r="E19" s="130">
        <v>1.07399E11</v>
      </c>
    </row>
    <row r="20">
      <c r="A20" s="130" t="s">
        <v>15</v>
      </c>
      <c r="B20" s="130">
        <v>2.92145E10</v>
      </c>
      <c r="C20" s="130">
        <v>3.30802E10</v>
      </c>
      <c r="D20" s="130">
        <v>3.77594E10</v>
      </c>
      <c r="E20" s="130">
        <v>4.05587E10</v>
      </c>
    </row>
    <row r="21" ht="15.75" customHeight="1">
      <c r="A21" s="130" t="s">
        <v>24</v>
      </c>
      <c r="B21" s="130">
        <v>2.11338E11</v>
      </c>
      <c r="C21" s="130">
        <v>2.07682E11</v>
      </c>
      <c r="D21" s="130">
        <v>2.08035E11</v>
      </c>
      <c r="E21" s="130">
        <v>2.19237E11</v>
      </c>
    </row>
    <row r="22" ht="15.75" customHeight="1">
      <c r="A22" s="130" t="s">
        <v>18</v>
      </c>
      <c r="B22" s="130">
        <v>8.2338E10</v>
      </c>
      <c r="C22" s="130">
        <v>1.06618E11</v>
      </c>
      <c r="D22" s="130">
        <v>1.2207E11</v>
      </c>
      <c r="E22" s="130">
        <v>1.37806E11</v>
      </c>
    </row>
    <row r="23" ht="15.75" customHeight="1">
      <c r="A23" s="130" t="s">
        <v>25</v>
      </c>
      <c r="B23" s="130">
        <v>1.81509E10</v>
      </c>
      <c r="C23" s="130">
        <v>2.27302E10</v>
      </c>
      <c r="D23" s="130">
        <v>2.25332E10</v>
      </c>
      <c r="E23" s="130">
        <v>2.5643E10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6.0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2.085812951655808E12</v>
      </c>
      <c r="C2" s="130">
        <v>3.010315082806915E12</v>
      </c>
      <c r="D2" s="130">
        <v>3.833999598587265E12</v>
      </c>
      <c r="E2" s="130">
        <v>4.071612082770874E12</v>
      </c>
    </row>
    <row r="3">
      <c r="A3" s="130" t="s">
        <v>22</v>
      </c>
      <c r="B3" s="130">
        <v>1.017536647262573E11</v>
      </c>
      <c r="C3" s="130">
        <v>2.395412559509277E11</v>
      </c>
      <c r="D3" s="130">
        <v>1.977332314987183E11</v>
      </c>
      <c r="E3" s="130">
        <v>3.503657659912109E11</v>
      </c>
    </row>
    <row r="4">
      <c r="A4" s="130" t="s">
        <v>10</v>
      </c>
      <c r="B4" s="130">
        <v>1.272491749725342E11</v>
      </c>
      <c r="C4" s="130">
        <v>1.435817874145508E11</v>
      </c>
      <c r="D4" s="130">
        <v>1.346049291534424E11</v>
      </c>
      <c r="E4" s="130">
        <v>1.748607651367188E11</v>
      </c>
    </row>
    <row r="5">
      <c r="A5" s="130" t="s">
        <v>8</v>
      </c>
      <c r="B5" s="130">
        <v>8.55876E11</v>
      </c>
      <c r="C5" s="130">
        <v>1.594154505615234E12</v>
      </c>
      <c r="D5" s="130">
        <v>2.352080183456421E12</v>
      </c>
      <c r="E5" s="130">
        <v>2.499088219299316E12</v>
      </c>
    </row>
    <row r="6">
      <c r="A6" s="130" t="s">
        <v>17</v>
      </c>
      <c r="B6" s="130">
        <v>2.108543707275391E11</v>
      </c>
      <c r="C6" s="130">
        <v>2.921014164550781E11</v>
      </c>
      <c r="D6" s="130">
        <v>2.69270110546875E11</v>
      </c>
      <c r="E6" s="130">
        <v>4.146148731445312E11</v>
      </c>
    </row>
    <row r="7">
      <c r="A7" s="130" t="s">
        <v>28</v>
      </c>
      <c r="B7" s="130">
        <v>2.303341979601321E10</v>
      </c>
      <c r="C7" s="130">
        <v>2.876563560616895E10</v>
      </c>
      <c r="D7" s="130">
        <v>3.41350255279541E10</v>
      </c>
      <c r="E7" s="130">
        <v>4.092206524658203E10</v>
      </c>
    </row>
    <row r="8">
      <c r="A8" s="130" t="s">
        <v>27</v>
      </c>
      <c r="B8" s="130">
        <v>5.575943340722302E10</v>
      </c>
      <c r="C8" s="130">
        <v>5.906626542380548E10</v>
      </c>
      <c r="D8" s="130">
        <v>4.982633818865591E10</v>
      </c>
      <c r="E8" s="130">
        <v>2.8753992365E10</v>
      </c>
    </row>
    <row r="9">
      <c r="A9" s="130" t="s">
        <v>11</v>
      </c>
      <c r="B9" s="130">
        <v>1.943166108337097E11</v>
      </c>
      <c r="C9" s="130">
        <v>2.893406663205566E11</v>
      </c>
      <c r="D9" s="130">
        <v>4.042641871060181E11</v>
      </c>
      <c r="E9" s="130">
        <v>3.824931149035645E11</v>
      </c>
    </row>
    <row r="10">
      <c r="A10" s="130" t="s">
        <v>20</v>
      </c>
      <c r="B10" s="130">
        <v>9.694185215759277E10</v>
      </c>
      <c r="C10" s="130">
        <v>9.470886093139648E10</v>
      </c>
      <c r="D10" s="130">
        <v>1.121348321533203E11</v>
      </c>
      <c r="E10" s="130">
        <v>1.531688376998901E11</v>
      </c>
    </row>
    <row r="11">
      <c r="A11" s="130" t="s">
        <v>9</v>
      </c>
      <c r="B11" s="130">
        <v>1.151501450149536E12</v>
      </c>
      <c r="C11" s="130">
        <v>1.762568690216064E12</v>
      </c>
      <c r="D11" s="130">
        <v>2.345374064300537E12</v>
      </c>
      <c r="E11" s="130">
        <v>3.825297145690918E12</v>
      </c>
    </row>
    <row r="12">
      <c r="A12" s="130" t="s">
        <v>26</v>
      </c>
      <c r="B12" s="130">
        <v>4.61990906867981E10</v>
      </c>
      <c r="C12" s="130">
        <v>4.361942840270996E10</v>
      </c>
      <c r="D12" s="130">
        <v>4.193190123310089E10</v>
      </c>
      <c r="E12" s="130">
        <v>3.752712297134399E10</v>
      </c>
    </row>
    <row r="13">
      <c r="A13" s="130" t="s">
        <v>21</v>
      </c>
      <c r="B13" s="130">
        <v>8.442931871414185E10</v>
      </c>
      <c r="C13" s="130">
        <v>9.284604515075684E10</v>
      </c>
      <c r="D13" s="130">
        <v>7.732296100616455E10</v>
      </c>
      <c r="E13" s="130">
        <v>6.927158976745605E10</v>
      </c>
    </row>
    <row r="14">
      <c r="A14" s="130" t="s">
        <v>13</v>
      </c>
      <c r="B14" s="130">
        <v>4.344225541371558E10</v>
      </c>
      <c r="C14" s="130">
        <v>8.015837983283203E10</v>
      </c>
      <c r="D14" s="130">
        <v>8.620793149776758E10</v>
      </c>
      <c r="E14" s="130">
        <v>1.02117584278291E11</v>
      </c>
    </row>
    <row r="15">
      <c r="A15" s="130" t="s">
        <v>14</v>
      </c>
      <c r="B15" s="130">
        <v>3.22626885055542E11</v>
      </c>
      <c r="C15" s="130">
        <v>9.233151016235352E11</v>
      </c>
      <c r="D15" s="130">
        <v>1.524406813964844E12</v>
      </c>
      <c r="E15" s="130">
        <v>1.697618198364258E12</v>
      </c>
    </row>
    <row r="16">
      <c r="A16" s="130" t="s">
        <v>12</v>
      </c>
      <c r="B16" s="130">
        <v>1.75818945526123E12</v>
      </c>
      <c r="C16" s="130">
        <v>2.756219178222656E12</v>
      </c>
      <c r="D16" s="130">
        <v>3.111274541168213E12</v>
      </c>
      <c r="E16" s="130">
        <v>3.594217299346924E12</v>
      </c>
    </row>
    <row r="17">
      <c r="A17" s="130" t="s">
        <v>19</v>
      </c>
      <c r="B17" s="130">
        <v>1.330763991250992E11</v>
      </c>
      <c r="C17" s="130">
        <v>2.188515850054169E11</v>
      </c>
      <c r="D17" s="130">
        <v>3.915221311424255E11</v>
      </c>
      <c r="E17" s="130">
        <v>4.072806041594925E11</v>
      </c>
    </row>
    <row r="18">
      <c r="A18" s="130" t="s">
        <v>23</v>
      </c>
      <c r="B18" s="130">
        <v>1.174583246580162E11</v>
      </c>
      <c r="C18" s="130">
        <v>2.135990627607727E11</v>
      </c>
      <c r="D18" s="130">
        <v>1.43462561360199E11</v>
      </c>
      <c r="E18" s="130">
        <v>1.680886547552185E11</v>
      </c>
    </row>
    <row r="19">
      <c r="A19" s="130" t="s">
        <v>16</v>
      </c>
      <c r="B19" s="130">
        <v>2.249454699401855E11</v>
      </c>
      <c r="C19" s="130">
        <v>2.169165522766113E11</v>
      </c>
      <c r="D19" s="130">
        <v>1.997028063354492E11</v>
      </c>
      <c r="E19" s="130">
        <v>1.953080558319092E11</v>
      </c>
    </row>
    <row r="20">
      <c r="A20" s="130" t="s">
        <v>15</v>
      </c>
      <c r="B20" s="130">
        <v>8.121830422973633E10</v>
      </c>
      <c r="C20" s="130">
        <v>9.904353286743164E10</v>
      </c>
      <c r="D20" s="130">
        <v>8.131755286254883E10</v>
      </c>
      <c r="E20" s="130">
        <v>8.359950314941406E10</v>
      </c>
    </row>
    <row r="21" ht="15.75" customHeight="1">
      <c r="A21" s="130" t="s">
        <v>24</v>
      </c>
      <c r="B21" s="130">
        <v>1.680712846281878E11</v>
      </c>
      <c r="C21" s="130">
        <v>1.848343960660089E11</v>
      </c>
      <c r="D21" s="130">
        <v>2.523956240204841E11</v>
      </c>
      <c r="E21" s="130">
        <v>2.273213356305128E11</v>
      </c>
    </row>
    <row r="22" ht="15.75" customHeight="1">
      <c r="A22" s="130" t="s">
        <v>18</v>
      </c>
      <c r="B22" s="130">
        <v>4.280505010604858E11</v>
      </c>
      <c r="C22" s="130">
        <v>8.653937051200867E11</v>
      </c>
      <c r="D22" s="130">
        <v>1.298749428222656E12</v>
      </c>
      <c r="E22" s="130">
        <v>1.585825154304504E12</v>
      </c>
    </row>
    <row r="23" ht="15.75" customHeight="1">
      <c r="A23" s="130" t="s">
        <v>25</v>
      </c>
      <c r="B23" s="130">
        <v>7.482289768371582E10</v>
      </c>
      <c r="C23" s="130">
        <v>1.05994848815918E11</v>
      </c>
      <c r="D23" s="130">
        <v>1.038563331481934E11</v>
      </c>
      <c r="E23" s="130">
        <v>1.169668762207031E11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6.0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2.194646951655808E12</v>
      </c>
      <c r="C2" s="130">
        <v>3.091438082806915E12</v>
      </c>
      <c r="D2" s="130">
        <v>3.910685598587265E12</v>
      </c>
      <c r="E2" s="130">
        <v>4.134335082770874E12</v>
      </c>
    </row>
    <row r="3">
      <c r="A3" s="130" t="s">
        <v>22</v>
      </c>
      <c r="B3" s="130">
        <v>9.978166472625732E10</v>
      </c>
      <c r="C3" s="130">
        <v>2.386112559509277E11</v>
      </c>
      <c r="D3" s="130">
        <v>1.961582314987183E11</v>
      </c>
      <c r="E3" s="130">
        <v>3.486737659912109E11</v>
      </c>
    </row>
    <row r="4">
      <c r="A4" s="130" t="s">
        <v>10</v>
      </c>
      <c r="B4" s="130">
        <v>1.585651749725342E11</v>
      </c>
      <c r="C4" s="130">
        <v>1.972507874145508E11</v>
      </c>
      <c r="D4" s="130">
        <v>1.827309291534424E11</v>
      </c>
      <c r="E4" s="130">
        <v>2.203357651367188E11</v>
      </c>
    </row>
    <row r="5">
      <c r="A5" s="130" t="s">
        <v>8</v>
      </c>
      <c r="B5" s="130">
        <v>9.42106E11</v>
      </c>
      <c r="C5" s="130">
        <v>1.656378505615234E12</v>
      </c>
      <c r="D5" s="130">
        <v>2.404201183456421E12</v>
      </c>
      <c r="E5" s="130">
        <v>2.565265219299316E12</v>
      </c>
    </row>
    <row r="6">
      <c r="A6" s="130" t="s">
        <v>17</v>
      </c>
      <c r="B6" s="130">
        <v>2.078464707275391E11</v>
      </c>
      <c r="C6" s="130">
        <v>2.897283164550781E11</v>
      </c>
      <c r="D6" s="130">
        <v>2.61221810546875E11</v>
      </c>
      <c r="E6" s="130">
        <v>4.060897731445312E11</v>
      </c>
    </row>
    <row r="7">
      <c r="A7" s="130" t="s">
        <v>28</v>
      </c>
      <c r="B7" s="130">
        <v>3.355341979601321E10</v>
      </c>
      <c r="C7" s="130">
        <v>3.874263560616895E10</v>
      </c>
      <c r="D7" s="130">
        <v>4.39030255279541E10</v>
      </c>
      <c r="E7" s="130">
        <v>5.069806524658203E10</v>
      </c>
    </row>
    <row r="8">
      <c r="A8" s="130" t="s">
        <v>27</v>
      </c>
      <c r="B8" s="130">
        <v>1.52717433407223E11</v>
      </c>
      <c r="C8" s="130">
        <v>1.565592654238055E11</v>
      </c>
      <c r="D8" s="130">
        <v>1.451303381886559E11</v>
      </c>
      <c r="E8" s="130">
        <v>1.25397992365E11</v>
      </c>
    </row>
    <row r="9">
      <c r="A9" s="130" t="s">
        <v>11</v>
      </c>
      <c r="B9" s="130">
        <v>1.931526108337097E11</v>
      </c>
      <c r="C9" s="130">
        <v>2.845246663205566E11</v>
      </c>
      <c r="D9" s="130">
        <v>4.025271871060181E11</v>
      </c>
      <c r="E9" s="130">
        <v>3.765051149035645E11</v>
      </c>
    </row>
    <row r="10">
      <c r="A10" s="130" t="s">
        <v>20</v>
      </c>
      <c r="B10" s="130">
        <v>1.167598521575928E11</v>
      </c>
      <c r="C10" s="130">
        <v>1.136108609313965E11</v>
      </c>
      <c r="D10" s="130">
        <v>1.288548321533203E11</v>
      </c>
      <c r="E10" s="130">
        <v>1.705408376998901E11</v>
      </c>
    </row>
    <row r="11">
      <c r="A11" s="130" t="s">
        <v>9</v>
      </c>
      <c r="B11" s="130">
        <v>1.159301450149536E12</v>
      </c>
      <c r="C11" s="130">
        <v>1.765641690216064E12</v>
      </c>
      <c r="D11" s="130">
        <v>2.344482064300537E12</v>
      </c>
      <c r="E11" s="130">
        <v>3.853880145690918E12</v>
      </c>
    </row>
    <row r="12">
      <c r="A12" s="130" t="s">
        <v>26</v>
      </c>
      <c r="B12" s="130">
        <v>5.92470906867981E10</v>
      </c>
      <c r="C12" s="130">
        <v>5.817642840270996E10</v>
      </c>
      <c r="D12" s="130">
        <v>5.697590123310089E10</v>
      </c>
      <c r="E12" s="130">
        <v>5.264212297134399E10</v>
      </c>
    </row>
    <row r="13">
      <c r="A13" s="130" t="s">
        <v>21</v>
      </c>
      <c r="B13" s="130">
        <v>1.059533187141418E11</v>
      </c>
      <c r="C13" s="130">
        <v>1.109810451507568E11</v>
      </c>
      <c r="D13" s="130">
        <v>9.434396100616455E10</v>
      </c>
      <c r="E13" s="130">
        <v>8.895058976745605E10</v>
      </c>
    </row>
    <row r="14">
      <c r="A14" s="130" t="s">
        <v>13</v>
      </c>
      <c r="B14" s="130">
        <v>4.694625541371558E10</v>
      </c>
      <c r="C14" s="130">
        <v>8.293537983283203E10</v>
      </c>
      <c r="D14" s="130">
        <v>9.042293149776758E10</v>
      </c>
      <c r="E14" s="130">
        <v>1.09839584278291E11</v>
      </c>
    </row>
    <row r="15">
      <c r="A15" s="130" t="s">
        <v>14</v>
      </c>
      <c r="B15" s="130">
        <v>3.34536885055542E11</v>
      </c>
      <c r="C15" s="130">
        <v>9.186871016235352E11</v>
      </c>
      <c r="D15" s="130">
        <v>1.529577813964844E12</v>
      </c>
      <c r="E15" s="130">
        <v>1.745642198364258E12</v>
      </c>
    </row>
    <row r="16">
      <c r="A16" s="130" t="s">
        <v>12</v>
      </c>
      <c r="B16" s="130">
        <v>1.80552845526123E12</v>
      </c>
      <c r="C16" s="130">
        <v>2.781480178222656E12</v>
      </c>
      <c r="D16" s="130">
        <v>3.160086541168213E12</v>
      </c>
      <c r="E16" s="130">
        <v>3.624563299346924E12</v>
      </c>
    </row>
    <row r="17">
      <c r="A17" s="130" t="s">
        <v>19</v>
      </c>
      <c r="B17" s="130">
        <v>1.422822991250992E11</v>
      </c>
      <c r="C17" s="130">
        <v>2.262779330054169E11</v>
      </c>
      <c r="D17" s="130">
        <v>3.993002021424255E11</v>
      </c>
      <c r="E17" s="130">
        <v>4.127097591594925E11</v>
      </c>
    </row>
    <row r="18">
      <c r="A18" s="130" t="s">
        <v>23</v>
      </c>
      <c r="B18" s="130">
        <v>1.000664566580162E11</v>
      </c>
      <c r="C18" s="130">
        <v>1.639704947607727E11</v>
      </c>
      <c r="D18" s="130">
        <v>9.630164836019897E10</v>
      </c>
      <c r="E18" s="130">
        <v>6.456686275521851E10</v>
      </c>
    </row>
    <row r="19">
      <c r="A19" s="130" t="s">
        <v>16</v>
      </c>
      <c r="B19" s="130">
        <v>2.595454699401855E11</v>
      </c>
      <c r="C19" s="130">
        <v>2.518665522766113E11</v>
      </c>
      <c r="D19" s="130">
        <v>2.361458063354492E11</v>
      </c>
      <c r="E19" s="130">
        <v>2.360500558319092E11</v>
      </c>
    </row>
    <row r="20">
      <c r="A20" s="130" t="s">
        <v>15</v>
      </c>
      <c r="B20" s="130">
        <v>8.081380422973633E10</v>
      </c>
      <c r="C20" s="130">
        <v>9.901643286743164E10</v>
      </c>
      <c r="D20" s="130">
        <v>8.153375286254883E10</v>
      </c>
      <c r="E20" s="130">
        <v>8.318730314941406E10</v>
      </c>
    </row>
    <row r="21" ht="15.75" customHeight="1">
      <c r="A21" s="130" t="s">
        <v>24</v>
      </c>
      <c r="B21" s="130">
        <v>2.753562846281878E11</v>
      </c>
      <c r="C21" s="130">
        <v>2.927853960660089E11</v>
      </c>
      <c r="D21" s="130">
        <v>3.609306240204841E11</v>
      </c>
      <c r="E21" s="130">
        <v>3.439923356305128E11</v>
      </c>
    </row>
    <row r="22" ht="15.75" customHeight="1">
      <c r="A22" s="130" t="s">
        <v>18</v>
      </c>
      <c r="B22" s="130">
        <v>4.175455010604858E11</v>
      </c>
      <c r="C22" s="130">
        <v>8.585687051200867E11</v>
      </c>
      <c r="D22" s="130">
        <v>1.296233428222656E12</v>
      </c>
      <c r="E22" s="130">
        <v>1.584031154304504E12</v>
      </c>
    </row>
    <row r="23" ht="15.75" customHeight="1">
      <c r="A23" s="130" t="s">
        <v>25</v>
      </c>
      <c r="B23" s="130">
        <v>6.521859768371582E10</v>
      </c>
      <c r="C23" s="130">
        <v>9.643414881591797E10</v>
      </c>
      <c r="D23" s="130">
        <v>1.010310331481934E11</v>
      </c>
      <c r="E23" s="130">
        <v>1.139125762207031E11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57"/>
    <col customWidth="1" min="3" max="3" width="13.14"/>
    <col customWidth="1" min="4" max="4" width="13.57"/>
    <col customWidth="1" min="5" max="5" width="13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20.91024745310582</v>
      </c>
      <c r="C2" s="130">
        <v>31.0562955224689</v>
      </c>
      <c r="D2" s="130">
        <v>40.92602227863512</v>
      </c>
      <c r="E2" s="130">
        <v>36.37477680441521</v>
      </c>
    </row>
    <row r="3">
      <c r="A3" s="130" t="s">
        <v>22</v>
      </c>
      <c r="B3" s="130">
        <v>77.10713886079334</v>
      </c>
      <c r="C3" s="130">
        <v>278.1320823813384</v>
      </c>
      <c r="D3" s="130">
        <v>120.7900009155273</v>
      </c>
      <c r="E3" s="130">
        <v>80.8150957215507</v>
      </c>
    </row>
    <row r="4">
      <c r="A4" s="130" t="s">
        <v>10</v>
      </c>
      <c r="B4" s="130">
        <v>19.42287731721911</v>
      </c>
      <c r="C4" s="130">
        <v>21.36754569671362</v>
      </c>
      <c r="D4" s="130">
        <v>32.91106249289538</v>
      </c>
      <c r="E4" s="130">
        <v>22.67191411740162</v>
      </c>
    </row>
    <row r="5">
      <c r="A5" s="130" t="s">
        <v>8</v>
      </c>
      <c r="B5" s="130">
        <v>-311.1111111111111</v>
      </c>
      <c r="C5" s="130">
        <v>52.39310429014009</v>
      </c>
      <c r="D5" s="130">
        <v>39.67269428384239</v>
      </c>
      <c r="E5" s="130">
        <v>32.19246964075575</v>
      </c>
    </row>
    <row r="6">
      <c r="A6" s="130" t="s">
        <v>17</v>
      </c>
      <c r="B6" s="130">
        <v>32.96732116205468</v>
      </c>
      <c r="C6" s="130">
        <v>35.99737907509714</v>
      </c>
      <c r="D6" s="130">
        <v>35.55723574949649</v>
      </c>
      <c r="E6" s="130">
        <v>40.59870793269231</v>
      </c>
    </row>
    <row r="7">
      <c r="A7" s="130" t="s">
        <v>28</v>
      </c>
      <c r="B7" s="130">
        <v>15.27415104550069</v>
      </c>
      <c r="C7" s="130">
        <v>17.23525202307163</v>
      </c>
      <c r="D7" s="130">
        <v>24.04078198717786</v>
      </c>
      <c r="E7" s="130">
        <v>21.06604956685098</v>
      </c>
    </row>
    <row r="8">
      <c r="A8" s="130" t="s">
        <v>27</v>
      </c>
      <c r="B8" s="130">
        <v>11.03122986673766</v>
      </c>
      <c r="C8" s="130">
        <v>12.9603198624802</v>
      </c>
      <c r="D8" s="130">
        <v>9.80182982595573</v>
      </c>
      <c r="E8" s="130">
        <v>5.764982049157691</v>
      </c>
    </row>
    <row r="9">
      <c r="A9" s="130" t="s">
        <v>11</v>
      </c>
      <c r="B9" s="130">
        <v>33.25000919707833</v>
      </c>
      <c r="C9" s="130">
        <v>45.9749598961092</v>
      </c>
      <c r="D9" s="130">
        <v>54.8883521038553</v>
      </c>
      <c r="E9" s="130">
        <v>47.22217306339236</v>
      </c>
    </row>
    <row r="10">
      <c r="A10" s="130" t="s">
        <v>20</v>
      </c>
      <c r="B10" s="130">
        <v>21.10330979902666</v>
      </c>
      <c r="C10" s="130">
        <v>16.73005845811632</v>
      </c>
      <c r="D10" s="130">
        <v>235.1327996504934</v>
      </c>
      <c r="E10" s="130">
        <v>18.00101513707884</v>
      </c>
    </row>
    <row r="11">
      <c r="A11" s="130" t="s">
        <v>9</v>
      </c>
      <c r="B11" s="130">
        <v>19.19007886920059</v>
      </c>
      <c r="C11" s="130">
        <v>23.88705812651536</v>
      </c>
      <c r="D11" s="130">
        <v>23.43642581161575</v>
      </c>
      <c r="E11" s="130">
        <v>28.93430302255579</v>
      </c>
    </row>
    <row r="12">
      <c r="A12" s="130" t="s">
        <v>26</v>
      </c>
      <c r="B12" s="130">
        <v>32.02077280176748</v>
      </c>
      <c r="C12" s="130">
        <v>19.98123168945312</v>
      </c>
      <c r="D12" s="130">
        <v>29.18595631917318</v>
      </c>
      <c r="E12" s="130">
        <v>17.99789503508923</v>
      </c>
    </row>
    <row r="13">
      <c r="A13" s="130" t="s">
        <v>21</v>
      </c>
      <c r="B13" s="130">
        <v>31.10193719669264</v>
      </c>
      <c r="C13" s="130">
        <v>18.72122538023891</v>
      </c>
      <c r="D13" s="130">
        <v>16.784746047349</v>
      </c>
      <c r="E13" s="130">
        <v>28.23700677780878</v>
      </c>
    </row>
    <row r="14">
      <c r="A14" s="130" t="s">
        <v>13</v>
      </c>
      <c r="B14" s="130">
        <v>88.79748061221144</v>
      </c>
      <c r="C14" s="130">
        <v>80.75745318923433</v>
      </c>
      <c r="D14" s="130">
        <v>45.11647496434731</v>
      </c>
      <c r="E14" s="130">
        <v>51.12335050166561</v>
      </c>
    </row>
    <row r="15">
      <c r="A15" s="130" t="s">
        <v>14</v>
      </c>
      <c r="B15" s="130">
        <v>13.90023192648838</v>
      </c>
      <c r="C15" s="130">
        <v>23.61828637908751</v>
      </c>
      <c r="D15" s="130">
        <v>24.44133135019384</v>
      </c>
      <c r="E15" s="130">
        <v>28.07685524009552</v>
      </c>
    </row>
    <row r="16">
      <c r="A16" s="130" t="s">
        <v>12</v>
      </c>
      <c r="B16" s="130">
        <v>24.16389900167989</v>
      </c>
      <c r="C16" s="130">
        <v>38.10671656584937</v>
      </c>
      <c r="D16" s="130">
        <v>35.30155763787738</v>
      </c>
      <c r="E16" s="130">
        <v>35.29881675921577</v>
      </c>
    </row>
    <row r="17">
      <c r="A17" s="130" t="s">
        <v>19</v>
      </c>
      <c r="B17" s="130">
        <v>29.6361817786442</v>
      </c>
      <c r="C17" s="130">
        <v>40.47215272264489</v>
      </c>
      <c r="D17" s="130">
        <v>44.94806040553691</v>
      </c>
      <c r="E17" s="130">
        <v>37.05928938190928</v>
      </c>
    </row>
    <row r="18">
      <c r="A18" s="130" t="s">
        <v>23</v>
      </c>
      <c r="B18" s="130">
        <v>3.720346854550995</v>
      </c>
      <c r="C18" s="130">
        <v>3.55466466371705</v>
      </c>
      <c r="D18" s="130">
        <v>1.27618418241802</v>
      </c>
      <c r="E18" s="130">
        <v>1.718030293782552</v>
      </c>
    </row>
    <row r="19">
      <c r="A19" s="130" t="s">
        <v>16</v>
      </c>
      <c r="B19" s="130">
        <v>25.26188550337081</v>
      </c>
      <c r="C19" s="130">
        <v>23.90928966243093</v>
      </c>
      <c r="D19" s="130">
        <v>20.85211664652653</v>
      </c>
      <c r="E19" s="130">
        <v>23.70818837483724</v>
      </c>
    </row>
    <row r="20">
      <c r="A20" s="130" t="s">
        <v>15</v>
      </c>
      <c r="B20" s="130">
        <v>18.72265235345941</v>
      </c>
      <c r="C20" s="130">
        <v>25.05307091972695</v>
      </c>
      <c r="D20" s="130">
        <v>18.42709473165672</v>
      </c>
      <c r="E20" s="130">
        <v>18.55816891706094</v>
      </c>
    </row>
    <row r="21" ht="15.75" customHeight="1">
      <c r="A21" s="130" t="s">
        <v>24</v>
      </c>
      <c r="B21" s="130">
        <v>64.99084917086999</v>
      </c>
      <c r="C21" s="130">
        <v>22.221057445972</v>
      </c>
      <c r="D21" s="130">
        <v>22.27037323187597</v>
      </c>
      <c r="E21" s="130">
        <v>20.67673922566229</v>
      </c>
    </row>
    <row r="22" ht="15.75" customHeight="1">
      <c r="A22" s="130" t="s">
        <v>18</v>
      </c>
      <c r="B22" s="130">
        <v>34.02762439369496</v>
      </c>
      <c r="C22" s="130">
        <v>57.65197116648238</v>
      </c>
      <c r="D22" s="130">
        <v>197.9607825185738</v>
      </c>
      <c r="E22" s="130">
        <v>416.4074085376881</v>
      </c>
    </row>
    <row r="23" ht="15.75" customHeight="1">
      <c r="A23" s="130" t="s">
        <v>25</v>
      </c>
      <c r="B23" s="130">
        <v>22.52574093442253</v>
      </c>
      <c r="C23" s="130">
        <v>29.29373755568304</v>
      </c>
      <c r="D23" s="130">
        <v>-193.6057750995342</v>
      </c>
      <c r="E23" s="130">
        <v>29.59268833887484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5.289538028381975</v>
      </c>
      <c r="C2" s="130">
        <v>7.853986153402599</v>
      </c>
      <c r="D2" s="130">
        <v>9.804747908978134</v>
      </c>
      <c r="E2" s="130">
        <v>9.783742548607087</v>
      </c>
    </row>
    <row r="3">
      <c r="A3" s="130" t="s">
        <v>22</v>
      </c>
      <c r="B3" s="130">
        <v>4.311413275973786</v>
      </c>
      <c r="C3" s="130">
        <v>10.56178377208676</v>
      </c>
      <c r="D3" s="130">
        <v>7.668537192116279</v>
      </c>
      <c r="E3" s="130">
        <v>10.11477715844022</v>
      </c>
    </row>
    <row r="4">
      <c r="A4" s="130" t="s">
        <v>10</v>
      </c>
      <c r="B4" s="130">
        <v>4.834144093474687</v>
      </c>
      <c r="C4" s="130">
        <v>5.093358900835431</v>
      </c>
      <c r="D4" s="130">
        <v>4.027193907175754</v>
      </c>
      <c r="E4" s="130">
        <v>4.757986589119174</v>
      </c>
    </row>
    <row r="5">
      <c r="A5" s="130" t="s">
        <v>8</v>
      </c>
      <c r="B5" s="130">
        <v>1.665183478831012</v>
      </c>
      <c r="C5" s="130">
        <v>2.77347965868148</v>
      </c>
      <c r="D5" s="130">
        <v>3.686882986926152</v>
      </c>
      <c r="E5" s="130">
        <v>3.485848178188087</v>
      </c>
    </row>
    <row r="6">
      <c r="A6" s="130" t="s">
        <v>17</v>
      </c>
      <c r="B6" s="130">
        <v>9.958455927132112</v>
      </c>
      <c r="C6" s="130">
        <v>10.59932204057108</v>
      </c>
      <c r="D6" s="130">
        <v>9.527334793912692</v>
      </c>
      <c r="E6" s="130">
        <v>12.69204596475776</v>
      </c>
    </row>
    <row r="7">
      <c r="A7" s="130" t="s">
        <v>28</v>
      </c>
      <c r="B7" s="130">
        <v>1.329874122171663</v>
      </c>
      <c r="C7" s="130">
        <v>1.571720883300675</v>
      </c>
      <c r="D7" s="130">
        <v>1.670174455815349</v>
      </c>
      <c r="E7" s="130">
        <v>1.957899873048277</v>
      </c>
    </row>
    <row r="8">
      <c r="A8" s="130" t="s">
        <v>27</v>
      </c>
      <c r="B8" s="130">
        <v>1.032161589856411</v>
      </c>
      <c r="C8" s="130">
        <v>1.081661058542046</v>
      </c>
      <c r="D8" s="130">
        <v>0.9045355031071238</v>
      </c>
      <c r="E8" s="130">
        <v>0.5249569570416621</v>
      </c>
    </row>
    <row r="9">
      <c r="A9" s="130" t="s">
        <v>11</v>
      </c>
      <c r="B9" s="130">
        <v>0.8561938138728981</v>
      </c>
      <c r="C9" s="130">
        <v>1.194191532133215</v>
      </c>
      <c r="D9" s="130">
        <v>1.58875779458689</v>
      </c>
      <c r="E9" s="130">
        <v>1.389696495371462</v>
      </c>
    </row>
    <row r="10">
      <c r="A10" s="130" t="s">
        <v>20</v>
      </c>
      <c r="B10" s="130">
        <v>3.553456697246903</v>
      </c>
      <c r="C10" s="130">
        <v>3.492729787999575</v>
      </c>
      <c r="D10" s="130">
        <v>3.899799407154494</v>
      </c>
      <c r="E10" s="130">
        <v>5.202392422386052</v>
      </c>
    </row>
    <row r="11">
      <c r="A11" s="130" t="s">
        <v>9</v>
      </c>
      <c r="B11" s="130">
        <v>4.07126903983063</v>
      </c>
      <c r="C11" s="130">
        <v>5.733907266296884</v>
      </c>
      <c r="D11" s="130">
        <v>6.700724146474002</v>
      </c>
      <c r="E11" s="130">
        <v>9.495916814015922</v>
      </c>
    </row>
    <row r="12">
      <c r="A12" s="130" t="s">
        <v>26</v>
      </c>
      <c r="B12" s="130">
        <v>3.286554078878715</v>
      </c>
      <c r="C12" s="130">
        <v>2.944473363217899</v>
      </c>
      <c r="D12" s="130">
        <v>2.731541999420291</v>
      </c>
      <c r="E12" s="130">
        <v>2.260261577506715</v>
      </c>
    </row>
    <row r="13">
      <c r="A13" s="130" t="s">
        <v>21</v>
      </c>
      <c r="B13" s="130">
        <v>2.680636230446464</v>
      </c>
      <c r="C13" s="130">
        <v>2.57791107148925</v>
      </c>
      <c r="D13" s="130">
        <v>2.121867155296632</v>
      </c>
      <c r="E13" s="130">
        <v>1.797534571125309</v>
      </c>
    </row>
    <row r="14">
      <c r="A14" s="130" t="s">
        <v>13</v>
      </c>
      <c r="B14" s="130">
        <v>4.02989382316471</v>
      </c>
      <c r="C14" s="130">
        <v>5.306042221012248</v>
      </c>
      <c r="D14" s="130">
        <v>4.149200149095999</v>
      </c>
      <c r="E14" s="130">
        <v>3.534336492516908</v>
      </c>
    </row>
    <row r="15">
      <c r="A15" s="130" t="s">
        <v>14</v>
      </c>
      <c r="B15" s="130">
        <v>2.766740860958777</v>
      </c>
      <c r="C15" s="130">
        <v>6.844339606703645</v>
      </c>
      <c r="D15" s="130">
        <v>9.266854389729204</v>
      </c>
      <c r="E15" s="130">
        <v>8.447290578327966</v>
      </c>
    </row>
    <row r="16">
      <c r="A16" s="130" t="s">
        <v>12</v>
      </c>
      <c r="B16" s="130">
        <v>8.86765247017315</v>
      </c>
      <c r="C16" s="130">
        <v>13.00624862903832</v>
      </c>
      <c r="D16" s="130">
        <v>12.69275928381872</v>
      </c>
      <c r="E16" s="130">
        <v>12.75793790854497</v>
      </c>
    </row>
    <row r="17">
      <c r="A17" s="130" t="s">
        <v>19</v>
      </c>
      <c r="B17" s="130">
        <v>4.209207150440185</v>
      </c>
      <c r="C17" s="130">
        <v>6.489625999658838</v>
      </c>
      <c r="D17" s="130">
        <v>10.03878035078479</v>
      </c>
      <c r="E17" s="130">
        <v>9.01401588329506</v>
      </c>
    </row>
    <row r="18">
      <c r="A18" s="130" t="s">
        <v>23</v>
      </c>
      <c r="B18" s="130">
        <v>0.8996667720174903</v>
      </c>
      <c r="C18" s="130">
        <v>0.8625413845952732</v>
      </c>
      <c r="D18" s="130">
        <v>0.3642697113164794</v>
      </c>
      <c r="E18" s="130">
        <v>0.3892331212171105</v>
      </c>
    </row>
    <row r="19">
      <c r="A19" s="130" t="s">
        <v>16</v>
      </c>
      <c r="B19" s="130">
        <v>2.603776622143087</v>
      </c>
      <c r="C19" s="130">
        <v>2.371424301435551</v>
      </c>
      <c r="D19" s="130">
        <v>2.174132931994788</v>
      </c>
      <c r="E19" s="130">
        <v>2.079404374042153</v>
      </c>
    </row>
    <row r="20">
      <c r="A20" s="130" t="s">
        <v>15</v>
      </c>
      <c r="B20" s="130">
        <v>6.672058772333325</v>
      </c>
      <c r="C20" s="130">
        <v>7.550661182831065</v>
      </c>
      <c r="D20" s="130">
        <v>5.725781781618704</v>
      </c>
      <c r="E20" s="130">
        <v>5.828633201752369</v>
      </c>
    </row>
    <row r="21" ht="15.75" customHeight="1">
      <c r="A21" s="130" t="s">
        <v>24</v>
      </c>
      <c r="B21" s="130">
        <v>2.112217825943972</v>
      </c>
      <c r="C21" s="130">
        <v>2.352839889839468</v>
      </c>
      <c r="D21" s="130">
        <v>3.100683341774988</v>
      </c>
      <c r="E21" s="130">
        <v>2.574158190337483</v>
      </c>
    </row>
    <row r="22" ht="15.75" customHeight="1">
      <c r="A22" s="130" t="s">
        <v>18</v>
      </c>
      <c r="B22" s="130">
        <v>5.254603386370158</v>
      </c>
      <c r="C22" s="130">
        <v>8.94251191055446</v>
      </c>
      <c r="D22" s="130">
        <v>13.29459953140195</v>
      </c>
      <c r="E22" s="130">
        <v>16.72335046246854</v>
      </c>
    </row>
    <row r="23" ht="15.75" customHeight="1">
      <c r="A23" s="130" t="s">
        <v>25</v>
      </c>
      <c r="B23" s="130">
        <v>8.378167185519144</v>
      </c>
      <c r="C23" s="130">
        <v>10.73996360555242</v>
      </c>
      <c r="D23" s="130">
        <v>9.424264130833055</v>
      </c>
      <c r="E23" s="130">
        <v>9.74618384847501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57"/>
    <col customWidth="1" min="3" max="3" width="13.14"/>
    <col customWidth="1" min="4" max="4" width="13.57"/>
    <col customWidth="1" min="5" max="5" width="13.14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18.71641064630176</v>
      </c>
      <c r="C2" s="130">
        <v>30.2289030648188</v>
      </c>
      <c r="D2" s="130">
        <v>35.23669983169525</v>
      </c>
      <c r="E2" s="130">
        <v>41.22441790042093</v>
      </c>
    </row>
    <row r="3">
      <c r="A3" s="130" t="s">
        <v>22</v>
      </c>
      <c r="B3" s="130">
        <v>32.66570296188036</v>
      </c>
      <c r="C3" s="130">
        <v>213.6853309107295</v>
      </c>
      <c r="D3" s="130">
        <v>82.21755987472693</v>
      </c>
      <c r="E3" s="130">
        <v>52.02164305734387</v>
      </c>
    </row>
    <row r="4">
      <c r="A4" s="130" t="s">
        <v>10</v>
      </c>
      <c r="B4" s="130">
        <v>14.48482355976485</v>
      </c>
      <c r="C4" s="130">
        <v>19.51104598648604</v>
      </c>
      <c r="D4" s="130">
        <v>12.95025294914781</v>
      </c>
      <c r="E4" s="130">
        <v>21.58774878231096</v>
      </c>
    </row>
    <row r="5">
      <c r="A5" s="130" t="s">
        <v>8</v>
      </c>
      <c r="B5" s="130">
        <v>-50.66453560646421</v>
      </c>
      <c r="C5" s="130">
        <v>49.48177997998679</v>
      </c>
      <c r="D5" s="130">
        <v>71.53963694435248</v>
      </c>
      <c r="E5" s="130">
        <v>324.7677997789885</v>
      </c>
    </row>
    <row r="6">
      <c r="A6" s="130" t="s">
        <v>17</v>
      </c>
      <c r="B6" s="130">
        <v>29.41811938996011</v>
      </c>
      <c r="C6" s="130">
        <v>89.95485847963727</v>
      </c>
      <c r="D6" s="130">
        <v>29.64517736751495</v>
      </c>
      <c r="E6" s="130">
        <v>37.59894744357469</v>
      </c>
    </row>
    <row r="7">
      <c r="A7" s="130" t="s">
        <v>28</v>
      </c>
      <c r="B7" s="130">
        <v>9.88983245857158</v>
      </c>
      <c r="C7" s="130">
        <v>14.42609609135855</v>
      </c>
      <c r="D7" s="130">
        <v>16.08625142693407</v>
      </c>
      <c r="E7" s="130">
        <v>20.43038704272692</v>
      </c>
    </row>
    <row r="8">
      <c r="A8" s="130" t="s">
        <v>27</v>
      </c>
      <c r="B8" s="130">
        <v>10.04855530856425</v>
      </c>
      <c r="C8" s="130">
        <v>17.80176775883227</v>
      </c>
      <c r="D8" s="130">
        <v>15.76284030011259</v>
      </c>
      <c r="E8" s="130">
        <v>6.50837310208239</v>
      </c>
    </row>
    <row r="9">
      <c r="A9" s="130" t="s">
        <v>11</v>
      </c>
      <c r="B9" s="130">
        <v>55.5031736171693</v>
      </c>
      <c r="C9" s="130">
        <v>42.89705949897059</v>
      </c>
      <c r="D9" s="130">
        <v>60.98418873223986</v>
      </c>
      <c r="E9" s="130">
        <v>48.80606289441935</v>
      </c>
    </row>
    <row r="10">
      <c r="A10" s="130" t="s">
        <v>20</v>
      </c>
      <c r="B10" s="130">
        <v>11.61815102559837</v>
      </c>
      <c r="C10" s="130">
        <v>12.76227744662397</v>
      </c>
      <c r="D10" s="130">
        <v>10.88159458062303</v>
      </c>
      <c r="E10" s="130">
        <v>16.19805813239109</v>
      </c>
    </row>
    <row r="11">
      <c r="A11" s="130" t="s">
        <v>9</v>
      </c>
      <c r="B11" s="130">
        <v>19.18849275369999</v>
      </c>
      <c r="C11" s="130">
        <v>25.36252522075062</v>
      </c>
      <c r="D11" s="130">
        <v>32.23261591309628</v>
      </c>
      <c r="E11" s="130">
        <v>52.21108216213411</v>
      </c>
    </row>
    <row r="12">
      <c r="A12" s="130" t="s">
        <v>26</v>
      </c>
      <c r="B12" s="130">
        <v>18.79539897754194</v>
      </c>
      <c r="C12" s="130">
        <v>51.43800519187496</v>
      </c>
      <c r="D12" s="130">
        <v>26.2566695260494</v>
      </c>
      <c r="E12" s="130">
        <v>25.21984070654838</v>
      </c>
    </row>
    <row r="13">
      <c r="A13" s="130" t="s">
        <v>21</v>
      </c>
      <c r="B13" s="130">
        <v>28.12435666693599</v>
      </c>
      <c r="C13" s="130">
        <v>25.77624795967708</v>
      </c>
      <c r="D13" s="130">
        <v>21.9480445660416</v>
      </c>
      <c r="E13" s="130">
        <v>21.41316530678703</v>
      </c>
    </row>
    <row r="14">
      <c r="A14" s="130" t="s">
        <v>13</v>
      </c>
      <c r="B14" s="130">
        <v>17.48179292302438</v>
      </c>
      <c r="C14" s="130">
        <v>17.30908655427165</v>
      </c>
      <c r="D14" s="130">
        <v>12.21421528730059</v>
      </c>
      <c r="E14" s="130">
        <v>9.479029451247658</v>
      </c>
    </row>
    <row r="15">
      <c r="A15" s="130" t="s">
        <v>14</v>
      </c>
      <c r="B15" s="130">
        <v>16.7259518407145</v>
      </c>
      <c r="C15" s="130">
        <v>20.95205368120939</v>
      </c>
      <c r="D15" s="130">
        <v>28.19216625915157</v>
      </c>
      <c r="E15" s="130">
        <v>36.81750197064039</v>
      </c>
    </row>
    <row r="16">
      <c r="A16" s="130" t="s">
        <v>12</v>
      </c>
      <c r="B16" s="130">
        <v>26.9872055635732</v>
      </c>
      <c r="C16" s="130">
        <v>46.34248303022541</v>
      </c>
      <c r="D16" s="130">
        <v>42.00394946967386</v>
      </c>
      <c r="E16" s="130">
        <v>50.19085474783098</v>
      </c>
    </row>
    <row r="17">
      <c r="A17" s="130" t="s">
        <v>19</v>
      </c>
      <c r="B17" s="130">
        <v>82.220634505612</v>
      </c>
      <c r="C17" s="130">
        <v>31.59969918133286</v>
      </c>
      <c r="D17" s="130">
        <v>56.56341710156042</v>
      </c>
      <c r="E17" s="130">
        <v>43.04812626665261</v>
      </c>
    </row>
    <row r="18">
      <c r="A18" s="130" t="s">
        <v>23</v>
      </c>
      <c r="B18" s="130">
        <v>2.453583960183948</v>
      </c>
      <c r="C18" s="130">
        <v>2.282561868499374</v>
      </c>
      <c r="D18" s="130">
        <v>1.186011950268239</v>
      </c>
      <c r="E18" s="130">
        <v>1.588835563780381</v>
      </c>
    </row>
    <row r="19">
      <c r="A19" s="130" t="s">
        <v>16</v>
      </c>
      <c r="B19" s="130">
        <v>40.14016237333789</v>
      </c>
      <c r="C19" s="130">
        <v>27.37462800058194</v>
      </c>
      <c r="D19" s="130">
        <v>27.77894092856436</v>
      </c>
      <c r="E19" s="130">
        <v>25.45725440979004</v>
      </c>
    </row>
    <row r="20">
      <c r="A20" s="130" t="s">
        <v>15</v>
      </c>
      <c r="B20" s="130">
        <v>23.90179641840386</v>
      </c>
      <c r="C20" s="130">
        <v>27.00499860056485</v>
      </c>
      <c r="D20" s="130">
        <v>22.97820024938507</v>
      </c>
      <c r="E20" s="130">
        <v>22.20320385355733</v>
      </c>
    </row>
    <row r="21" ht="15.75" customHeight="1">
      <c r="A21" s="130" t="s">
        <v>24</v>
      </c>
      <c r="B21" s="130">
        <v>-323.2140089003611</v>
      </c>
      <c r="C21" s="130">
        <v>23.85575581646992</v>
      </c>
      <c r="D21" s="130">
        <v>25.28507553801684</v>
      </c>
      <c r="E21" s="130">
        <v>14.73529108903305</v>
      </c>
    </row>
    <row r="22" ht="15.75" customHeight="1">
      <c r="A22" s="130" t="s">
        <v>18</v>
      </c>
      <c r="B22" s="130">
        <v>56.68041592432281</v>
      </c>
      <c r="C22" s="130">
        <v>198.6214608951312</v>
      </c>
      <c r="D22" s="130">
        <v>362.6778632288903</v>
      </c>
      <c r="E22" s="130">
        <v>254.9558125891486</v>
      </c>
    </row>
    <row r="23" ht="15.75" customHeight="1">
      <c r="A23" s="130" t="s">
        <v>25</v>
      </c>
      <c r="B23" s="130">
        <v>19.06218732388562</v>
      </c>
      <c r="C23" s="130">
        <v>32.32634383967732</v>
      </c>
      <c r="D23" s="130">
        <v>-106.1925696811793</v>
      </c>
      <c r="E23" s="130">
        <v>36.62310608701331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4" width="13.14"/>
    <col customWidth="1" min="5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16.81193610938945</v>
      </c>
      <c r="C2" s="130">
        <v>24.57032334133616</v>
      </c>
      <c r="D2" s="130">
        <v>29.04096656483514</v>
      </c>
      <c r="E2" s="130">
        <v>28.56229504221733</v>
      </c>
    </row>
    <row r="3">
      <c r="A3" s="130" t="s">
        <v>22</v>
      </c>
      <c r="B3" s="130">
        <v>18.03065860611806</v>
      </c>
      <c r="C3" s="130">
        <v>58.90181583582516</v>
      </c>
      <c r="D3" s="130">
        <v>38.12599251675768</v>
      </c>
      <c r="E3" s="130">
        <v>47.92766542834514</v>
      </c>
    </row>
    <row r="4">
      <c r="A4" s="130" t="s">
        <v>10</v>
      </c>
      <c r="B4" s="130">
        <v>13.03025515428829</v>
      </c>
      <c r="C4" s="130">
        <v>13.32685544318295</v>
      </c>
      <c r="D4" s="130">
        <v>13.6815610327525</v>
      </c>
      <c r="E4" s="130">
        <v>13.03916233499342</v>
      </c>
    </row>
    <row r="5">
      <c r="A5" s="130" t="s">
        <v>8</v>
      </c>
      <c r="B5" s="130">
        <v>24.56471631205674</v>
      </c>
      <c r="C5" s="130">
        <v>18.52730929526447</v>
      </c>
      <c r="D5" s="130">
        <v>19.41768916089667</v>
      </c>
      <c r="E5" s="130">
        <v>15.51499760676007</v>
      </c>
    </row>
    <row r="6">
      <c r="A6" s="130" t="s">
        <v>17</v>
      </c>
      <c r="B6" s="130">
        <v>29.27208939194973</v>
      </c>
      <c r="C6" s="130">
        <v>29.0425337264513</v>
      </c>
      <c r="D6" s="130">
        <v>25.80325284946807</v>
      </c>
      <c r="E6" s="130">
        <v>32.35697737460708</v>
      </c>
    </row>
    <row r="7">
      <c r="A7" s="130" t="s">
        <v>28</v>
      </c>
      <c r="B7" s="130">
        <v>11.43217028824982</v>
      </c>
      <c r="C7" s="130">
        <v>12.27197833581531</v>
      </c>
      <c r="D7" s="130">
        <v>14.11219078365609</v>
      </c>
      <c r="E7" s="130">
        <v>13.46204600280989</v>
      </c>
    </row>
    <row r="8">
      <c r="A8" s="130" t="s">
        <v>27</v>
      </c>
      <c r="B8" s="130">
        <v>7.299719583539172</v>
      </c>
      <c r="C8" s="130">
        <v>7.549390752425763</v>
      </c>
      <c r="D8" s="130">
        <v>6.780524116457481</v>
      </c>
      <c r="E8" s="130">
        <v>5.911932127905332</v>
      </c>
    </row>
    <row r="9">
      <c r="A9" s="130" t="s">
        <v>11</v>
      </c>
      <c r="B9" s="130">
        <v>19.51430701492319</v>
      </c>
      <c r="C9" s="130">
        <v>26.531580223849</v>
      </c>
      <c r="D9" s="130">
        <v>33.14072016351211</v>
      </c>
      <c r="E9" s="130">
        <v>28.10159090189315</v>
      </c>
    </row>
    <row r="10">
      <c r="A10" s="130" t="s">
        <v>20</v>
      </c>
      <c r="B10" s="130">
        <v>13.1902227923173</v>
      </c>
      <c r="C10" s="130">
        <v>10.8242055003236</v>
      </c>
      <c r="D10" s="130">
        <v>29.06062971432574</v>
      </c>
      <c r="E10" s="130">
        <v>12.55823547127321</v>
      </c>
    </row>
    <row r="11">
      <c r="A11" s="130" t="s">
        <v>9</v>
      </c>
      <c r="B11" s="130">
        <v>13.61321571335763</v>
      </c>
      <c r="C11" s="130">
        <v>18.02208500695169</v>
      </c>
      <c r="D11" s="130">
        <v>17.31599675244499</v>
      </c>
      <c r="E11" s="130">
        <v>21.32774101368537</v>
      </c>
    </row>
    <row r="12">
      <c r="A12" s="130" t="s">
        <v>26</v>
      </c>
      <c r="B12" s="130">
        <v>18.98336773047039</v>
      </c>
      <c r="C12" s="130">
        <v>14.64294699287943</v>
      </c>
      <c r="D12" s="130">
        <v>16.84680698790683</v>
      </c>
      <c r="E12" s="130">
        <v>12.55176990256175</v>
      </c>
    </row>
    <row r="13">
      <c r="A13" s="130" t="s">
        <v>21</v>
      </c>
      <c r="B13" s="130">
        <v>22.24508056144066</v>
      </c>
      <c r="C13" s="130">
        <v>14.51681427740443</v>
      </c>
      <c r="D13" s="130">
        <v>11.6892530053481</v>
      </c>
      <c r="E13" s="130">
        <v>17.89390258850454</v>
      </c>
    </row>
    <row r="14">
      <c r="A14" s="130" t="s">
        <v>13</v>
      </c>
      <c r="B14" s="130">
        <v>35.6193136674625</v>
      </c>
      <c r="C14" s="130">
        <v>36.84379379512751</v>
      </c>
      <c r="D14" s="130">
        <v>28.1340794952606</v>
      </c>
      <c r="E14" s="130">
        <v>28.75381787389817</v>
      </c>
    </row>
    <row r="15">
      <c r="A15" s="130" t="s">
        <v>14</v>
      </c>
      <c r="B15" s="130">
        <v>8.876011808318971</v>
      </c>
      <c r="C15" s="130">
        <v>15.55725634396016</v>
      </c>
      <c r="D15" s="130">
        <v>17.60644843184359</v>
      </c>
      <c r="E15" s="130">
        <v>16.51303244032671</v>
      </c>
    </row>
    <row r="16">
      <c r="A16" s="130" t="s">
        <v>12</v>
      </c>
      <c r="B16" s="130">
        <v>18.01223531022088</v>
      </c>
      <c r="C16" s="130">
        <v>26.45501405956492</v>
      </c>
      <c r="D16" s="130">
        <v>23.75844146763161</v>
      </c>
      <c r="E16" s="130">
        <v>22.63018324444744</v>
      </c>
    </row>
    <row r="17">
      <c r="A17" s="130" t="s">
        <v>19</v>
      </c>
      <c r="B17" s="130">
        <v>6.997620322530551</v>
      </c>
      <c r="C17" s="130">
        <v>10.52045106894426</v>
      </c>
      <c r="D17" s="130">
        <v>15.17396611371309</v>
      </c>
      <c r="E17" s="130">
        <v>13.64121579061776</v>
      </c>
    </row>
    <row r="18">
      <c r="A18" s="130" t="s">
        <v>23</v>
      </c>
      <c r="B18" s="130">
        <v>2.552341148963934</v>
      </c>
      <c r="C18" s="130">
        <v>2.221420670177342</v>
      </c>
      <c r="D18" s="130">
        <v>0.7116325910487018</v>
      </c>
      <c r="E18" s="130">
        <v>0.5273060606067562</v>
      </c>
    </row>
    <row r="19">
      <c r="A19" s="130" t="s">
        <v>16</v>
      </c>
      <c r="B19" s="130">
        <v>17.39114647146781</v>
      </c>
      <c r="C19" s="130">
        <v>15.98746681964018</v>
      </c>
      <c r="D19" s="130">
        <v>14.15742244217321</v>
      </c>
      <c r="E19" s="130">
        <v>15.18690444778416</v>
      </c>
    </row>
    <row r="20">
      <c r="A20" s="130" t="s">
        <v>15</v>
      </c>
      <c r="B20" s="130">
        <v>15.36500955010577</v>
      </c>
      <c r="C20" s="130">
        <v>21.0974011606826</v>
      </c>
      <c r="D20" s="130">
        <v>15.33165717610922</v>
      </c>
      <c r="E20" s="130">
        <v>14.29777304826477</v>
      </c>
    </row>
    <row r="21" ht="15.75" customHeight="1">
      <c r="A21" s="130" t="s">
        <v>24</v>
      </c>
      <c r="B21" s="130">
        <v>13.65786839086294</v>
      </c>
      <c r="C21" s="130">
        <v>10.78319814621424</v>
      </c>
      <c r="D21" s="130">
        <v>11.62717041493731</v>
      </c>
      <c r="E21" s="130">
        <v>10.89859441848091</v>
      </c>
    </row>
    <row r="22" ht="15.75" customHeight="1">
      <c r="A22" s="130" t="s">
        <v>18</v>
      </c>
      <c r="B22" s="130">
        <v>23.64759025091951</v>
      </c>
      <c r="C22" s="130">
        <v>58.02708198973281</v>
      </c>
      <c r="D22" s="130">
        <v>88.13118222889966</v>
      </c>
      <c r="E22" s="130">
        <v>134.6507271595125</v>
      </c>
    </row>
    <row r="23" ht="15.75" customHeight="1">
      <c r="A23" s="130" t="s">
        <v>25</v>
      </c>
      <c r="B23" s="130">
        <v>14.70377582768928</v>
      </c>
      <c r="C23" s="130">
        <v>20.94027378092547</v>
      </c>
      <c r="D23" s="130">
        <v>207.7545407118926</v>
      </c>
      <c r="E23" s="130">
        <v>23.40845739487971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5" width="16.57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0.007122640253147474</v>
      </c>
      <c r="C2" s="130">
        <v>0.004990148617929083</v>
      </c>
      <c r="D2" s="130">
        <v>0.003978616496366022</v>
      </c>
      <c r="E2" s="130">
        <v>0.003795754014828064</v>
      </c>
    </row>
    <row r="3">
      <c r="A3" s="130" t="s">
        <v>10</v>
      </c>
      <c r="B3" s="130">
        <v>0.03299164808656829</v>
      </c>
      <c r="C3" s="130">
        <v>0.03192438318632795</v>
      </c>
      <c r="D3" s="130">
        <v>0.03617252377473935</v>
      </c>
      <c r="E3" s="130">
        <v>0.0295082776057034</v>
      </c>
    </row>
    <row r="4">
      <c r="A4" s="130" t="s">
        <v>17</v>
      </c>
      <c r="B4" s="130">
        <v>0.01252206435602786</v>
      </c>
      <c r="C4" s="130">
        <v>0.008706316220110161</v>
      </c>
      <c r="D4" s="130">
        <v>0.009812588536595244</v>
      </c>
      <c r="E4" s="130">
        <v>0.006914780403935482</v>
      </c>
    </row>
    <row r="5">
      <c r="A5" s="130" t="s">
        <v>28</v>
      </c>
      <c r="B5" s="130">
        <v>0.03382952831150463</v>
      </c>
      <c r="C5" s="130">
        <v>0.0314877742310604</v>
      </c>
      <c r="D5" s="130">
        <v>0.02876605436242814</v>
      </c>
      <c r="E5" s="130">
        <v>0.02596349899737141</v>
      </c>
    </row>
    <row r="6">
      <c r="A6" s="130" t="s">
        <v>11</v>
      </c>
      <c r="B6" s="130">
        <v>0.007988004336532647</v>
      </c>
      <c r="C6" s="130">
        <v>0.02912418094269559</v>
      </c>
      <c r="D6" s="130">
        <v>0.004950761318551153</v>
      </c>
      <c r="E6" s="130">
        <v>0.005884297239095285</v>
      </c>
    </row>
    <row r="7">
      <c r="A7" s="130" t="s">
        <v>20</v>
      </c>
      <c r="B7" s="130">
        <v>0.03801289038721319</v>
      </c>
      <c r="C7" s="130">
        <v>0.03984843617466525</v>
      </c>
      <c r="D7" s="130">
        <v>0.03447100179108393</v>
      </c>
      <c r="E7" s="130">
        <v>0.02589168958616995</v>
      </c>
    </row>
    <row r="8">
      <c r="A8" s="130" t="s">
        <v>9</v>
      </c>
      <c r="B8" s="130">
        <v>0.0</v>
      </c>
      <c r="C8" s="130">
        <v>0.0</v>
      </c>
      <c r="D8" s="130">
        <v>0.003184225541535204</v>
      </c>
      <c r="E8" s="130">
        <v>0.002653623918192782</v>
      </c>
    </row>
    <row r="9">
      <c r="A9" s="130" t="s">
        <v>26</v>
      </c>
      <c r="B9" s="130">
        <v>0.02362327880864271</v>
      </c>
      <c r="C9" s="130">
        <v>0.02631501700120141</v>
      </c>
      <c r="D9" s="130">
        <v>0.02855254507408038</v>
      </c>
      <c r="E9" s="130">
        <v>0.03340986200720458</v>
      </c>
    </row>
    <row r="10">
      <c r="A10" s="130" t="s">
        <v>21</v>
      </c>
      <c r="B10" s="130">
        <v>0.02411425356745156</v>
      </c>
      <c r="C10" s="130">
        <v>0.02390408763664942</v>
      </c>
      <c r="D10" s="130">
        <v>0.03118258753448117</v>
      </c>
      <c r="E10" s="130">
        <v>0.03635141056316595</v>
      </c>
    </row>
    <row r="11">
      <c r="A11" s="130" t="s">
        <v>13</v>
      </c>
      <c r="B11" s="130">
        <v>0.0</v>
      </c>
      <c r="C11" s="130">
        <v>0.0</v>
      </c>
      <c r="D11" s="130">
        <v>0.0</v>
      </c>
      <c r="E11" s="130">
        <v>0.0</v>
      </c>
    </row>
    <row r="12">
      <c r="A12" s="130" t="s">
        <v>14</v>
      </c>
      <c r="B12" s="130">
        <v>0.0</v>
      </c>
      <c r="C12" s="130">
        <v>0.0</v>
      </c>
      <c r="D12" s="130">
        <v>0.003429530721135027</v>
      </c>
      <c r="E12" s="130">
        <v>0.003184108184754605</v>
      </c>
    </row>
    <row r="13">
      <c r="A13" s="130" t="s">
        <v>12</v>
      </c>
      <c r="B13" s="130">
        <v>0.01089279653150603</v>
      </c>
      <c r="C13" s="130">
        <v>0.007563578457299277</v>
      </c>
      <c r="D13" s="130">
        <v>0.007393921589241149</v>
      </c>
      <c r="E13" s="130">
        <v>0.00706162089994163</v>
      </c>
    </row>
    <row r="14">
      <c r="A14" s="130" t="s">
        <v>16</v>
      </c>
      <c r="B14" s="130">
        <v>0.02790087305011688</v>
      </c>
      <c r="C14" s="130">
        <v>0.03152795362190253</v>
      </c>
      <c r="D14" s="130">
        <v>0.03677835146524046</v>
      </c>
      <c r="E14" s="130">
        <v>0.03953626985384404</v>
      </c>
    </row>
    <row r="15">
      <c r="A15" s="130" t="s">
        <v>15</v>
      </c>
      <c r="B15" s="130"/>
      <c r="C15" s="130">
        <v>0.0</v>
      </c>
      <c r="D15" s="130">
        <v>0.0</v>
      </c>
      <c r="E15" s="130">
        <v>0.004572658755121792</v>
      </c>
    </row>
    <row r="16">
      <c r="A16" s="130" t="s">
        <v>24</v>
      </c>
      <c r="B16" s="130">
        <v>0.0</v>
      </c>
      <c r="C16" s="130">
        <v>0.004221000464228402</v>
      </c>
      <c r="D16" s="130">
        <v>0.01315472621296532</v>
      </c>
      <c r="E16" s="130">
        <v>0.01821095704535502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29"/>
    <col customWidth="1" min="3" max="3" width="13.14"/>
    <col customWidth="1" min="4" max="5" width="14.29"/>
    <col customWidth="1" min="6" max="26" width="8.71"/>
  </cols>
  <sheetData>
    <row r="1">
      <c r="A1" s="130" t="s">
        <v>73</v>
      </c>
      <c r="B1" s="130">
        <v>2022.0</v>
      </c>
      <c r="C1" s="130">
        <v>2023.0</v>
      </c>
      <c r="D1" s="130">
        <v>2024.0</v>
      </c>
      <c r="E1" s="130">
        <v>2025.0</v>
      </c>
    </row>
    <row r="2">
      <c r="A2" s="130" t="s">
        <v>7</v>
      </c>
      <c r="B2" s="130">
        <v>41.16302793763435</v>
      </c>
      <c r="C2" s="130">
        <v>48.43940209839595</v>
      </c>
      <c r="D2" s="130">
        <v>67.32220541856479</v>
      </c>
      <c r="E2" s="130">
        <v>55.22102834240943</v>
      </c>
    </row>
    <row r="3">
      <c r="A3" s="130" t="s">
        <v>22</v>
      </c>
      <c r="B3" s="130">
        <v>1.858514424223878</v>
      </c>
      <c r="C3" s="130">
        <v>4.28578787574121</v>
      </c>
      <c r="D3" s="130">
        <v>3.434776811748163</v>
      </c>
      <c r="E3" s="130">
        <v>5.561449641918299</v>
      </c>
    </row>
    <row r="4">
      <c r="A4" s="130" t="s">
        <v>10</v>
      </c>
      <c r="B4" s="130">
        <v>34.75803741396727</v>
      </c>
      <c r="C4" s="130">
        <v>23.03943957229634</v>
      </c>
      <c r="D4" s="130">
        <v>22.9036803051629</v>
      </c>
      <c r="E4" s="130">
        <v>20.19643856972959</v>
      </c>
    </row>
    <row r="5">
      <c r="A5" s="130" t="s">
        <v>8</v>
      </c>
      <c r="B5" s="130">
        <v>5.860438364043467</v>
      </c>
      <c r="C5" s="130">
        <v>7.896740585090944</v>
      </c>
      <c r="D5" s="130">
        <v>8.22491933928881</v>
      </c>
      <c r="E5" s="130">
        <v>6.079545131060335</v>
      </c>
    </row>
    <row r="6">
      <c r="A6" s="130" t="s">
        <v>17</v>
      </c>
      <c r="B6" s="130">
        <v>23.93135364865155</v>
      </c>
      <c r="C6" s="130">
        <v>21.71370286752387</v>
      </c>
      <c r="D6" s="130">
        <v>14.5734169632661</v>
      </c>
      <c r="E6" s="130">
        <v>21.14066107548012</v>
      </c>
    </row>
    <row r="7">
      <c r="A7" s="130" t="s">
        <v>28</v>
      </c>
      <c r="B7" s="130">
        <v>3.092979695986734</v>
      </c>
      <c r="C7" s="130">
        <v>3.606524022839637</v>
      </c>
      <c r="D7" s="130">
        <v>4.021089118618695</v>
      </c>
      <c r="E7" s="130">
        <v>5.222982162933252</v>
      </c>
    </row>
    <row r="8">
      <c r="A8" s="130" t="s">
        <v>27</v>
      </c>
      <c r="B8" s="130">
        <v>6.114643426606319</v>
      </c>
      <c r="C8" s="130">
        <v>5.328005179848952</v>
      </c>
      <c r="D8" s="130">
        <v>3.196659921001855</v>
      </c>
      <c r="E8" s="130">
        <v>1.791079629064408</v>
      </c>
    </row>
    <row r="9">
      <c r="A9" s="130" t="s">
        <v>11</v>
      </c>
      <c r="B9" s="130">
        <v>9.413652302766675</v>
      </c>
      <c r="C9" s="130">
        <v>11.54683798868851</v>
      </c>
      <c r="D9" s="130">
        <v>17.11388481525773</v>
      </c>
      <c r="E9" s="130">
        <v>13.11524876229476</v>
      </c>
    </row>
    <row r="10">
      <c r="A10" s="130" t="s">
        <v>20</v>
      </c>
      <c r="B10" s="130">
        <v>4.564117333219999</v>
      </c>
      <c r="C10" s="130">
        <v>4.147893878657928</v>
      </c>
      <c r="D10" s="130">
        <v>5.801077710983979</v>
      </c>
      <c r="E10" s="130">
        <v>6.746931446563745</v>
      </c>
    </row>
    <row r="11">
      <c r="A11" s="130" t="s">
        <v>9</v>
      </c>
      <c r="B11" s="130">
        <v>4.495523807504904</v>
      </c>
      <c r="C11" s="130">
        <v>6.219828181396873</v>
      </c>
      <c r="D11" s="130">
        <v>7.214670867531275</v>
      </c>
      <c r="E11" s="130">
        <v>9.211701312874714</v>
      </c>
    </row>
    <row r="12">
      <c r="A12" s="130" t="s">
        <v>26</v>
      </c>
      <c r="B12" s="130">
        <v>1.838696596624934</v>
      </c>
      <c r="C12" s="130">
        <v>1.698840489278313</v>
      </c>
      <c r="D12" s="130">
        <v>1.729649846681553</v>
      </c>
      <c r="E12" s="130">
        <v>1.470729070831791</v>
      </c>
    </row>
    <row r="13">
      <c r="A13" s="130" t="s">
        <v>21</v>
      </c>
      <c r="B13" s="130">
        <v>3.140621162598737</v>
      </c>
      <c r="C13" s="130">
        <v>3.277073455836398</v>
      </c>
      <c r="D13" s="130">
        <v>2.871044148454053</v>
      </c>
      <c r="E13" s="130">
        <v>2.68099658516356</v>
      </c>
    </row>
    <row r="14">
      <c r="A14" s="130" t="s">
        <v>13</v>
      </c>
      <c r="B14" s="130">
        <v>23.77791757729369</v>
      </c>
      <c r="C14" s="130">
        <v>26.10171925523674</v>
      </c>
      <c r="D14" s="130">
        <v>19.81336049132787</v>
      </c>
      <c r="E14" s="130">
        <v>15.13301486044621</v>
      </c>
    </row>
    <row r="15">
      <c r="A15" s="130" t="s">
        <v>14</v>
      </c>
      <c r="B15" s="130">
        <v>2.566376469064791</v>
      </c>
      <c r="C15" s="130">
        <v>6.028120114015559</v>
      </c>
      <c r="D15" s="130">
        <v>8.346648345980517</v>
      </c>
      <c r="E15" s="130">
        <v>7.814374678881519</v>
      </c>
    </row>
    <row r="16">
      <c r="A16" s="130" t="s">
        <v>12</v>
      </c>
      <c r="B16" s="130">
        <v>10.55703339254501</v>
      </c>
      <c r="C16" s="130">
        <v>13.3652365556832</v>
      </c>
      <c r="D16" s="130">
        <v>11.58860737109031</v>
      </c>
      <c r="E16" s="130">
        <v>10.46415442966506</v>
      </c>
    </row>
    <row r="17">
      <c r="A17" s="130" t="s">
        <v>19</v>
      </c>
      <c r="B17" s="130">
        <v>6.404862625748965</v>
      </c>
      <c r="C17" s="130">
        <v>10.62989400857743</v>
      </c>
      <c r="D17" s="130">
        <v>15.82318875618966</v>
      </c>
      <c r="E17" s="130">
        <v>15.30239100479738</v>
      </c>
    </row>
    <row r="18">
      <c r="A18" s="130" t="s">
        <v>23</v>
      </c>
      <c r="B18" s="130">
        <v>0.9973458102741194</v>
      </c>
      <c r="C18" s="130">
        <v>1.140767087951626</v>
      </c>
      <c r="D18" s="130">
        <v>0.457888771235127</v>
      </c>
      <c r="E18" s="130">
        <v>0.4066151198598396</v>
      </c>
    </row>
    <row r="19">
      <c r="A19" s="130" t="s">
        <v>16</v>
      </c>
      <c r="B19" s="130">
        <v>13.11711877894837</v>
      </c>
      <c r="C19" s="130">
        <v>11.72331796339033</v>
      </c>
      <c r="D19" s="130">
        <v>11.06938674881931</v>
      </c>
      <c r="E19" s="130">
        <v>9.571109273346524</v>
      </c>
    </row>
    <row r="20">
      <c r="A20" s="130" t="s">
        <v>15</v>
      </c>
      <c r="B20" s="130">
        <v>3.583582078615263</v>
      </c>
      <c r="C20" s="130">
        <v>3.813311959967491</v>
      </c>
      <c r="D20" s="130">
        <v>2.770275293747575</v>
      </c>
      <c r="E20" s="130">
        <v>2.674593550525294</v>
      </c>
    </row>
    <row r="21" ht="15.75" customHeight="1">
      <c r="A21" s="130" t="s">
        <v>24</v>
      </c>
      <c r="B21" s="130">
        <v>2.41287591346313</v>
      </c>
      <c r="C21" s="130">
        <v>2.856129121007632</v>
      </c>
      <c r="D21" s="130">
        <v>4.08797434477064</v>
      </c>
      <c r="E21" s="130">
        <v>3.839692847161678</v>
      </c>
    </row>
    <row r="22" ht="15.75" customHeight="1">
      <c r="A22" s="130" t="s">
        <v>18</v>
      </c>
      <c r="B22" s="130">
        <v>9.575217006542722</v>
      </c>
      <c r="C22" s="130">
        <v>13.81667632787442</v>
      </c>
      <c r="D22" s="130">
        <v>17.81231643496573</v>
      </c>
      <c r="E22" s="130">
        <v>19.30707420899843</v>
      </c>
    </row>
    <row r="23" ht="15.75" customHeight="1">
      <c r="A23" s="130" t="s">
        <v>25</v>
      </c>
      <c r="B23" s="130">
        <v>5.378028541096683</v>
      </c>
      <c r="C23" s="130">
        <v>6.029148871238309</v>
      </c>
      <c r="D23" s="130">
        <v>6.328998461156479</v>
      </c>
      <c r="E23" s="130">
        <v>6.266373593454507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